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Qb9GbAFtTjaF61RoLr+ctFddxxcjTZxJzI3H0YgysONVP0eMJDNE+vkLnbCxqI5Bdw2qzEeXluFwAvK0aAPwdA==" workbookSaltValue="3gPSAwFsd96ThCWBV997Sg==" workbookSpinCount="100000"/>
  <bookViews>
    <workbookView visibility="visible" minimized="0" showHorizontalScroll="1" showVerticalScroll="1" showSheetTabs="1" xWindow="-120" yWindow="-120" windowWidth="29040" windowHeight="15720" tabRatio="916" firstSheet="0" activeTab="0" autoFilterDateGrouping="1"/>
  </bookViews>
  <sheets>
    <sheet xmlns:r="http://schemas.openxmlformats.org/officeDocument/2006/relationships" name="Teilnahmebedingungen" sheetId="1" state="visible" r:id="rId1"/>
    <sheet xmlns:r="http://schemas.openxmlformats.org/officeDocument/2006/relationships" name="Bewerbungsformblatt" sheetId="2" state="visible" r:id="rId2"/>
    <sheet xmlns:r="http://schemas.openxmlformats.org/officeDocument/2006/relationships" name=" Erklärung" sheetId="3" state="visible" r:id="rId3"/>
    <sheet xmlns:r="http://schemas.openxmlformats.org/officeDocument/2006/relationships" name="Eigenerklärung Bezug Russland" sheetId="4" state="visible" r:id="rId4"/>
    <sheet xmlns:r="http://schemas.openxmlformats.org/officeDocument/2006/relationships" name="Wertung Teilnahmewettbewerb" sheetId="5" state="visible" r:id="rId5"/>
    <sheet xmlns:r="http://schemas.openxmlformats.org/officeDocument/2006/relationships" name="Büroreferenz 1" sheetId="6" state="visible" r:id="rId6"/>
    <sheet xmlns:r="http://schemas.openxmlformats.org/officeDocument/2006/relationships" name="Büroreferenz 2" sheetId="7" state="visible" r:id="rId7"/>
    <sheet xmlns:r="http://schemas.openxmlformats.org/officeDocument/2006/relationships" name="Büroreferenz ff" sheetId="8" state="visible" r:id="rId8"/>
    <sheet xmlns:r="http://schemas.openxmlformats.org/officeDocument/2006/relationships" name="Bewertungsschema Referenzen" sheetId="9" state="visible" r:id="rId9"/>
    <sheet xmlns:r="http://schemas.openxmlformats.org/officeDocument/2006/relationships" name="Wertung Zuschschlagskriterien" sheetId="10" state="visible" r:id="rId10"/>
    <sheet xmlns:r="http://schemas.openxmlformats.org/officeDocument/2006/relationships" name="Honorarangebot" sheetId="11" state="visible" r:id="rId11"/>
  </sheets>
  <definedNames>
    <definedName name="competition_replies">#REF!</definedName>
    <definedName name="_xlnm.Print_Area" localSheetId="0">'Teilnahmebedingungen'!$A$1:$J$48</definedName>
    <definedName name="competition_replies" localSheetId="1">Bewerbungsformblatt!$J$3:$J$225</definedName>
    <definedName name="_xlnm.Print_Titles" localSheetId="1">'Bewerbungsformblatt'!$2:$2</definedName>
    <definedName name="_xlnm.Print_Area" localSheetId="2">' Erklärung'!$A$1:$L$38</definedName>
    <definedName name="_xlnm.Print_Area" localSheetId="3">'Eigenerklärung Bezug Russland'!$B$1:$L$73</definedName>
    <definedName name="_xlnm.Print_Area" localSheetId="5">'Büroreferenz 1'!$A$1:$H$20</definedName>
    <definedName name="_xlnm.Print_Area" localSheetId="6">'Büroreferenz 2'!$A$1:$H$20</definedName>
    <definedName name="_xlnm.Print_Area" localSheetId="7">'Büroreferenz ff'!$A$1:$H$20</definedName>
    <definedName name="competition_replies" localSheetId="8">#REF!</definedName>
    <definedName name="_xlnm.Print_Area" localSheetId="9">'Wertung Zuschschlagskriterien'!$A$1:$E$70</definedName>
    <definedName name="competition_replies" localSheetId="10">#REF!</definedName>
    <definedName name="_xlnm.Print_Area" localSheetId="10">'Honorarangebot'!$A$1:$H$51</definedName>
  </definedNames>
  <calcPr calcId="191029" fullCalcOnLoad="1"/>
</workbook>
</file>

<file path=xl/calcChain.xml><?xml version="1.0" encoding="utf-8"?>
<calcChain xmlns="http://schemas.openxmlformats.org/spreadsheetml/2006/main">
  <c r="C119" i="19" l="1"/>
  <c r="B125" i="19"/>
  <c r="B126" i="19"/>
  <c r="B127" i="19"/>
  <c r="C125" i="19"/>
  <c r="C126" i="19"/>
  <c r="C127" i="19"/>
  <c r="B121" i="19"/>
  <c r="B122" i="19"/>
  <c r="B123" i="19"/>
  <c r="B124" i="19"/>
  <c r="C122" i="19"/>
  <c r="C124" i="19"/>
  <c r="B116" i="19"/>
  <c r="B117" i="19"/>
  <c r="B120" i="19"/>
  <c r="B115" i="19"/>
  <c r="C114" i="19"/>
  <c r="F129" i="19"/>
  <c r="G36" i="45"/>
  <c r="D49" i="23"/>
  <c r="E38" i="23"/>
  <c r="E36" i="23"/>
  <c r="G27" i="45"/>
  <c r="C201" i="22"/>
  <c r="C121" i="19" s="1"/>
  <c r="C202" i="22"/>
  <c r="C203" i="22"/>
  <c r="C123" i="19" s="1"/>
  <c r="C204" i="22"/>
  <c r="C205" i="22"/>
  <c r="C206" i="22"/>
  <c r="C207" i="22"/>
  <c r="C208" i="22"/>
  <c r="C200" i="22"/>
  <c r="C120" i="19" s="1"/>
  <c r="C197" i="22"/>
  <c r="C116" i="19" s="1"/>
  <c r="C198" i="22"/>
  <c r="C117" i="19" s="1"/>
  <c r="C196" i="22"/>
  <c r="C115" i="19" s="1"/>
  <c r="B17" i="49"/>
  <c r="B4" i="45" l="1"/>
  <c r="B3" i="45"/>
  <c r="E48" i="23"/>
  <c r="E44" i="23"/>
  <c r="E43" i="23"/>
  <c r="E42" i="23"/>
  <c r="E35" i="23"/>
  <c r="E37" i="23"/>
  <c r="E30" i="23"/>
  <c r="E29" i="23"/>
  <c r="E28" i="23"/>
  <c r="E23" i="23"/>
  <c r="E22" i="23"/>
  <c r="E21" i="23"/>
  <c r="E18" i="23"/>
  <c r="E17" i="23"/>
  <c r="E16" i="23"/>
  <c r="E15" i="23"/>
  <c r="A2" i="23"/>
  <c r="A1" i="23"/>
  <c r="A2" i="38"/>
  <c r="A1" i="38"/>
  <c r="B20" i="49"/>
  <c r="B19" i="49"/>
  <c r="B18" i="49"/>
  <c r="B16" i="49"/>
  <c r="B15" i="49"/>
  <c r="B14" i="49"/>
  <c r="B13" i="49"/>
  <c r="B12" i="49"/>
  <c r="A4" i="49"/>
  <c r="A2" i="49"/>
  <c r="B20" i="50"/>
  <c r="B19" i="50"/>
  <c r="B18" i="50"/>
  <c r="B17" i="50"/>
  <c r="B16" i="50"/>
  <c r="B15" i="50"/>
  <c r="B14" i="50"/>
  <c r="B13" i="50"/>
  <c r="B12" i="50"/>
  <c r="A4" i="50"/>
  <c r="A2" i="50"/>
  <c r="B20" i="46"/>
  <c r="B19" i="46"/>
  <c r="B18" i="46"/>
  <c r="B17" i="46"/>
  <c r="B16" i="46"/>
  <c r="B15" i="46"/>
  <c r="B14" i="46"/>
  <c r="B13" i="46"/>
  <c r="B12" i="46"/>
  <c r="A4" i="46"/>
  <c r="A2" i="46"/>
  <c r="C104" i="19"/>
  <c r="G88" i="19"/>
  <c r="C88" i="19"/>
  <c r="G68" i="19"/>
  <c r="G40" i="19"/>
  <c r="G32" i="19"/>
  <c r="G27" i="19"/>
  <c r="B3" i="19"/>
  <c r="B2" i="19"/>
  <c r="C5" i="48"/>
  <c r="C3" i="48"/>
  <c r="C7" i="30"/>
  <c r="C5" i="30"/>
  <c r="D6" i="22"/>
  <c r="A4" i="44"/>
  <c r="A3" i="44"/>
  <c r="G129" i="19" l="1"/>
  <c r="E49" i="23"/>
</calcChain>
</file>

<file path=xl/sharedStrings.xml><?xml version="1.0" encoding="utf-8"?>
<sst xmlns="http://schemas.openxmlformats.org/spreadsheetml/2006/main" count="668" uniqueCount="451">
  <si>
    <t>Fax:</t>
  </si>
  <si>
    <t>Ansprechpartner:</t>
  </si>
  <si>
    <t>Name / Version</t>
  </si>
  <si>
    <t>Personenschäden:</t>
  </si>
  <si>
    <t>Sonstige Schäden:</t>
  </si>
  <si>
    <t>8.1</t>
  </si>
  <si>
    <t>8.2</t>
  </si>
  <si>
    <t>4.2</t>
  </si>
  <si>
    <t>4.3</t>
  </si>
  <si>
    <t>a)</t>
  </si>
  <si>
    <t>Telefon:</t>
  </si>
  <si>
    <t>11</t>
  </si>
  <si>
    <t>12</t>
  </si>
  <si>
    <t>2.1</t>
  </si>
  <si>
    <t>E-Mail:</t>
  </si>
  <si>
    <t>in Mio. €</t>
  </si>
  <si>
    <t>Anlage Nr.</t>
  </si>
  <si>
    <t>Liegt eine Arbeitsgemeinschaft vor?</t>
  </si>
  <si>
    <t>Bei Arbeitsgemeinschaften ist eine entsprechende Erklärung der gesamtschuldnerischen Haftung mit Benennung des Ansprechpartners vorzulegen.</t>
  </si>
  <si>
    <t>Liegt eine Unterbeauftragung vor?</t>
  </si>
  <si>
    <t>Anzahl der Lizenzen:</t>
  </si>
  <si>
    <t>2.2</t>
  </si>
  <si>
    <t>Nachweis über eine bestehende Berufshaftpflichtversicherung</t>
  </si>
  <si>
    <t>Wichtung</t>
  </si>
  <si>
    <t>zu geringe Deckung</t>
  </si>
  <si>
    <t>2</t>
  </si>
  <si>
    <t>3-Jahresdurchschnitt</t>
  </si>
  <si>
    <t>vorhanden</t>
  </si>
  <si>
    <t>nicht vorhanden</t>
  </si>
  <si>
    <t xml:space="preserve">Anlage Nr. </t>
  </si>
  <si>
    <t>Fehlende Anlagen bei ARGE</t>
  </si>
  <si>
    <t>3.1</t>
  </si>
  <si>
    <t>7.1</t>
  </si>
  <si>
    <t>4.1</t>
  </si>
  <si>
    <t>Nachweis der fachlichen Eignung</t>
  </si>
  <si>
    <t>2.3</t>
  </si>
  <si>
    <t>2.4</t>
  </si>
  <si>
    <t>2.5</t>
  </si>
  <si>
    <t>2.6</t>
  </si>
  <si>
    <t>2.7</t>
  </si>
  <si>
    <t>Name des Büros / Unternehmens:</t>
  </si>
  <si>
    <t>Bewerber:</t>
  </si>
  <si>
    <t>Art / Umfang der Unterbeauftragung (Leistungen nach HOAI):</t>
  </si>
  <si>
    <t>4</t>
  </si>
  <si>
    <t>Weitere Niederlassungen:</t>
  </si>
  <si>
    <t>8</t>
  </si>
  <si>
    <t>9</t>
  </si>
  <si>
    <t>5.1</t>
  </si>
  <si>
    <t>5.2</t>
  </si>
  <si>
    <t>6</t>
  </si>
  <si>
    <t>Ich/wir erkläre/n, dass das Unternehmen freiberuflich und unabhängig tätig ist.</t>
  </si>
  <si>
    <t>Gründungsjahr des Büros:</t>
  </si>
  <si>
    <t>5</t>
  </si>
  <si>
    <t>7</t>
  </si>
  <si>
    <t>10</t>
  </si>
  <si>
    <t>für die ausgeschriebene Planungsleistung</t>
  </si>
  <si>
    <t>Hierzu ist das ausgefüllte Beiblatt 'Erklärung' beizulegen.</t>
  </si>
  <si>
    <t>zu 4.3)</t>
  </si>
  <si>
    <t>max. Punktzahl</t>
  </si>
  <si>
    <t>zu 5)</t>
  </si>
  <si>
    <t>zu 7.1)</t>
  </si>
  <si>
    <t>zu 8.1)</t>
  </si>
  <si>
    <t>zu 8.2)</t>
  </si>
  <si>
    <t xml:space="preserve">Bewerbung für </t>
  </si>
  <si>
    <t>Gesamtumsatz des Bewerbers [netto in €]</t>
  </si>
  <si>
    <t>Gesamtumsatz des Bewerbers (netto)</t>
  </si>
  <si>
    <r>
      <t>Bei Arbeitsgemeinschaften sind die Formulare j</t>
    </r>
    <r>
      <rPr>
        <u/>
        <sz val="10"/>
        <rFont val="Arial"/>
        <family val="2"/>
      </rPr>
      <t>e</t>
    </r>
    <r>
      <rPr>
        <sz val="10"/>
        <rFont val="Arial"/>
        <family val="2"/>
      </rPr>
      <t xml:space="preserve"> ARGE-Partner getrennt auszufüllen.</t>
    </r>
  </si>
  <si>
    <t>Name/Version:</t>
  </si>
  <si>
    <t>Erklärung zur freiberuflichen und unabhängigen Tätigkeit sowie der Richtigkeit der Angaben.</t>
  </si>
  <si>
    <t>Ort, Datum</t>
  </si>
  <si>
    <t>Straße, Hausnummer</t>
  </si>
  <si>
    <t>PLZ, Ort</t>
  </si>
  <si>
    <t>6.1</t>
  </si>
  <si>
    <t>7.2</t>
  </si>
  <si>
    <t>7.3</t>
  </si>
  <si>
    <t>7.4</t>
  </si>
  <si>
    <t>zu 6.1)</t>
  </si>
  <si>
    <t>zu 7)</t>
  </si>
  <si>
    <t>zu 7.2)</t>
  </si>
  <si>
    <t>zu 7.3)</t>
  </si>
  <si>
    <t>zu 7.4)</t>
  </si>
  <si>
    <t>Anzahl der beigefügten Referenznachweise Büro:</t>
  </si>
  <si>
    <t>5.3</t>
  </si>
  <si>
    <t>Bei einer Unterbeauftragung ist eine Verpflichtungserklärung des</t>
  </si>
  <si>
    <t xml:space="preserve">Nachunternehmers vorzulegen, im Auftragsfall die für den Hauptunternehmer </t>
  </si>
  <si>
    <t xml:space="preserve">zur Auftragserfüllung erforderlichen Leistungen zu erbringen. </t>
  </si>
  <si>
    <t>ohne freiberufliche Mitarbeiter.</t>
  </si>
  <si>
    <t>AVA-Programm</t>
  </si>
  <si>
    <t>Referenznachweise des Bewerbers (Büroreferenzen)</t>
  </si>
  <si>
    <t>zu 3.1)</t>
  </si>
  <si>
    <r>
      <t xml:space="preserve">Es ist jedoch gesamt je nur </t>
    </r>
    <r>
      <rPr>
        <b/>
        <u/>
        <sz val="10"/>
        <rFont val="Arial"/>
        <family val="2"/>
      </rPr>
      <t>ein</t>
    </r>
    <r>
      <rPr>
        <sz val="10"/>
        <rFont val="Arial"/>
        <family val="2"/>
      </rPr>
      <t xml:space="preserve"> Projektleiter (9.1) bzw. stellv. Projektleiter (9.2) zu benennen.</t>
    </r>
  </si>
  <si>
    <t>Bewertungsschema</t>
  </si>
  <si>
    <t>Gesamtpunkte</t>
  </si>
  <si>
    <t xml:space="preserve">Allgemein: </t>
  </si>
  <si>
    <t>Formulare, bei denen Pflichtfelder oder Beiblätter unvollständig ausgefüllt sind.</t>
  </si>
  <si>
    <t>Bei einer ARGE erfolgt eine zusammengefasste Wertung der Punkte</t>
  </si>
  <si>
    <t>Fehlende Anlage bei Unterbeauftragung</t>
  </si>
  <si>
    <t xml:space="preserve"> = 2 Pkt.</t>
  </si>
  <si>
    <t xml:space="preserve"> = 0 Pkt.</t>
  </si>
  <si>
    <t xml:space="preserve"> = 1 Pkt.</t>
  </si>
  <si>
    <t>CAD</t>
  </si>
  <si>
    <t>Nachweis der fachlichen Eignung gem. § 46 (3) 8 VgV</t>
  </si>
  <si>
    <t>VgV § 45 (1) 3, (4) 2</t>
  </si>
  <si>
    <t>VgV § 45 (1) 1, (4) 4</t>
  </si>
  <si>
    <t>Mindestanforderung Berufshaftpflicht:</t>
  </si>
  <si>
    <t>Nachweis der finanziellen und wirtschaftlichen Leistungsfähigkeit gem. § 45 VgV (1)</t>
  </si>
  <si>
    <t>Wahrung der Vertraulichkeit</t>
  </si>
  <si>
    <t>Erklärung zur freiberuflichen und unabhängigen Tätigkeit sowie Richtigkeit der Angaben</t>
  </si>
  <si>
    <t xml:space="preserve"> VgV § 42 + § 5</t>
  </si>
  <si>
    <t xml:space="preserve">Aktuelle Deckungsbestätigung Versicherung in Kopie beizulegen </t>
  </si>
  <si>
    <t>Hardware und Anzahl der Rechnerarbeitsplätze:</t>
  </si>
  <si>
    <t>Bei Auftragsanteil im Unterauftrag sind die Formulare gemäß § 44 VgV</t>
  </si>
  <si>
    <t>Angabe zum Leistungsanteil des unter Nr. 2 genannten Büros  bei Arbeitsgemeinschaften (Leistungen nach HOAI):</t>
  </si>
  <si>
    <t>SUMME:</t>
  </si>
  <si>
    <t>max.</t>
  </si>
  <si>
    <t>0. Kurzvorstellung des Büros</t>
  </si>
  <si>
    <t>Vergabe von Dienstleistungen nach der VgV</t>
  </si>
  <si>
    <t>Honorarangebot</t>
  </si>
  <si>
    <t>3 EP</t>
  </si>
  <si>
    <t>4 GP</t>
  </si>
  <si>
    <t>5 AP</t>
  </si>
  <si>
    <t>6 VV</t>
  </si>
  <si>
    <t>€ netto</t>
  </si>
  <si>
    <t>Ort, Datum, Unterschrift</t>
  </si>
  <si>
    <t xml:space="preserve">Büro: </t>
  </si>
  <si>
    <t>ja:                                                                          nein:</t>
  </si>
  <si>
    <t>Termin-Programm</t>
  </si>
  <si>
    <t>Kostenkontroll/-steuerungs-Programm</t>
  </si>
  <si>
    <t>7.5</t>
  </si>
  <si>
    <t>Name/Version</t>
  </si>
  <si>
    <t>MS Projekt oder kompatibles Programm</t>
  </si>
  <si>
    <t>zu 7.5)</t>
  </si>
  <si>
    <t>zu Referenznachweis Büro:</t>
  </si>
  <si>
    <t>Die kursiv angegebenen Stichworte bei den Unterkriterien sind Beispielhaft und nur zur Orientierung für das Entscheidungsgremium gedacht und stellen keine definitive oder abschliessende Auflistung dar! Die Bewertung hat anhand der Inhalte der Präsentationen der einzelnen Büros zu erfolgen!</t>
  </si>
  <si>
    <t>7 MV</t>
  </si>
  <si>
    <t>8 OÜ</t>
  </si>
  <si>
    <t>9 OB</t>
  </si>
  <si>
    <t>Anzahl</t>
  </si>
  <si>
    <t>6.2</t>
  </si>
  <si>
    <t>zu 6.2)</t>
  </si>
  <si>
    <t>0 - 5</t>
  </si>
  <si>
    <t>Nichtberücksichtigung des Teilnahmeantrags</t>
  </si>
  <si>
    <t>Rechnerarbeitsplätze</t>
  </si>
  <si>
    <t xml:space="preserve"> = 1 Pkt</t>
  </si>
  <si>
    <t>Fachkunde, Erfahrung gem. § 46 (1) VgV</t>
  </si>
  <si>
    <t>Sonstige ergänzende Angaben zur Bewerbung:</t>
  </si>
  <si>
    <t>Personenschäden     3,0 Mio. €</t>
  </si>
  <si>
    <t>Besondere Leistung:</t>
  </si>
  <si>
    <t>Es besteht keine Verknüpfung zu Gewerbebetrieben (VgV § 42).</t>
  </si>
  <si>
    <t xml:space="preserve">Ich/wir versicher/n, die übermittelten Unterlagen/Informationen/Angaben vertraulich zu </t>
  </si>
  <si>
    <t>behandeln VgV § 5.</t>
  </si>
  <si>
    <t>Ich/wir versichern/n hiermit die Richtigkeit aller Angaben auf den Formularen, Nachweise und Anlagen.</t>
  </si>
  <si>
    <t>Es ist ein aktuelles detailliertes Büro-Organigramm beizulegen.</t>
  </si>
  <si>
    <r>
      <t>j</t>
    </r>
    <r>
      <rPr>
        <u/>
        <sz val="10"/>
        <rFont val="Arial"/>
        <family val="2"/>
      </rPr>
      <t>e</t>
    </r>
    <r>
      <rPr>
        <sz val="10"/>
        <rFont val="Arial"/>
        <family val="2"/>
      </rPr>
      <t xml:space="preserve"> Nachunternehmer auszufüllen (nur Nummern 2, 3, 6, 10, ggf. 9).</t>
    </r>
  </si>
  <si>
    <t xml:space="preserve">Gesamthonorarangebot </t>
  </si>
  <si>
    <t>Wertung</t>
  </si>
  <si>
    <t>maximale Punktzahl</t>
  </si>
  <si>
    <t xml:space="preserve">1. </t>
  </si>
  <si>
    <t>ANGABEN ZUR ARBEITSWEISE</t>
  </si>
  <si>
    <t>Bitte erläutern Sie anhand eines oder mehrerer geeigneter Referenzprojekte Ihre Herangehensweise an das Projekt unter folgenden Gesichtspunkten:</t>
  </si>
  <si>
    <t>a.)</t>
  </si>
  <si>
    <t>Im Auftragsfall werden die Leistungspflichten durch die dem Vertrag zu Grunde liegenden ZVB detailliert bestimmt. Bitte erläutern Sie, wie Sie die Erbringung der einzelnen Leistungen anbieten (Schilderung der Arbeitsweise bei der Abwicklung des Auftrags und Schwerpunkte Ihrer Tätigkeit).</t>
  </si>
  <si>
    <t>b.)</t>
  </si>
  <si>
    <t>c.)</t>
  </si>
  <si>
    <t>Welche Methoden zur Kosten- und Terminverfolgung haben Sie und wie gehen Sie bei Kosten- bzw. Terminabweichungen vor?</t>
  </si>
  <si>
    <t xml:space="preserve">2. </t>
  </si>
  <si>
    <t>VERFÜGBARKEIT UND PERSONALEINSATZ</t>
  </si>
  <si>
    <t xml:space="preserve">max. </t>
  </si>
  <si>
    <t>Wie werden Sie Ihre grundsätzliche Verfügbarkeit gewährleisten? Wie stellen Sie sich die Bauleitertätigkeit, insbesondere in Bezug auf die Verfügbarkeit, vor?</t>
  </si>
  <si>
    <t>Welche Vertretungsregelungen im Urlaubs- und Krankheitsfall sehen Sie vor?</t>
  </si>
  <si>
    <t>d.)</t>
  </si>
  <si>
    <t xml:space="preserve">3. </t>
  </si>
  <si>
    <t>Berufserfahrung des vorgesehenen Projektleiters</t>
  </si>
  <si>
    <t>Berufserfahrung des stellvertretenden Projektleiters</t>
  </si>
  <si>
    <t xml:space="preserve">4. </t>
  </si>
  <si>
    <t>AUSEINANDERSETZUNG MIT DEM KONKRETEN VORHABEN</t>
  </si>
  <si>
    <t xml:space="preserve">5. </t>
  </si>
  <si>
    <t>HONORARPARAMETER</t>
  </si>
  <si>
    <t>5 Punkte</t>
  </si>
  <si>
    <t>4 Punkte</t>
  </si>
  <si>
    <t>Die Darstellung des Bieters lässt die Bewältigung der Problemstellungen in nahezu vollem Umfang erwarten. Eine sachgerechte und qualitätsvolle Leistungserfüllung erscheint sicher erreichbar.</t>
  </si>
  <si>
    <t>3 Punkte</t>
  </si>
  <si>
    <t>Die Darstellung des Bieters lässt die Bewältigung der Problemstellungen in überwiegendem Umfang erwarten. Eine sachgerechte und qualitätsvolle Leistungserfüllung erscheint erreichbar.</t>
  </si>
  <si>
    <t>2 Punkte</t>
  </si>
  <si>
    <t>Die Darstellung des Bieters lässt die Bewältigung der Problemstellungen in geringem Umfang erwarten. Eine sachgerechte und qualitätsvolle Leistungserfüllung erscheint zweifelhaft.</t>
  </si>
  <si>
    <t>1 Punkt</t>
  </si>
  <si>
    <t>Die Darstellung des Bieters lässt die Bewältigung der Problemstellungen nur in sehr geringem Umfang erwarten. Eine sachgerechte und qualitätsvolle Leistungserfüllung erscheint somit nur sehr unwahrscheinlich erreichbar.</t>
  </si>
  <si>
    <t>0 Punkte</t>
  </si>
  <si>
    <t>Die Darstellung des Bieters lässt die Bewältigung der Problemstellungen in vollem Umfang erwarten. Eine sachgerechte und qualitätsvolle Leistungserfüllung erscheint sehr sicher erreichbar.</t>
  </si>
  <si>
    <t>Die Dartstellung des Bieters lässt die Bewältigung der Problemstellung nicht erwarten. Eine sachgerechte und qualitätsvolle Leistungserbringung erscheint nicht erreichbar.</t>
  </si>
  <si>
    <t>Der Personaleinsatzplan lässt eine sachgerechte und qualitätsvolle Leistungserfüllung sehr sicher erwarten.</t>
  </si>
  <si>
    <t>Der Personaleinsatzplan lässt eine sachgerechte und qualitätsvolle Leistungserfüllung  sicher erwarten.</t>
  </si>
  <si>
    <t>Der Personaleinsatzplan lässt eine sachgerechte und qualitätsvolle Leistungserfüllung  erwarten.</t>
  </si>
  <si>
    <t>Der Personaleinsatzplan lässt eine sachgerechte und qualitätsvolle Leistungserfüllung zweifelhaft erscheinen.</t>
  </si>
  <si>
    <t>Der Personaleinsatzplan lässt eine sachgerechte und qualitätsvolle Leistungserfüllung sehr unwahrscheinlich erscheinen.</t>
  </si>
  <si>
    <t>Der Personaleinsatzplan lässt eine sachgerechte und qualitätsvolle Leistungserfüllung nicht  erwarten.</t>
  </si>
  <si>
    <t>Nachweis der fachlichen Eignung gem. § 44 VgV</t>
  </si>
  <si>
    <t>9.1</t>
  </si>
  <si>
    <t>Name</t>
  </si>
  <si>
    <t>Beruf / Ausbildung</t>
  </si>
  <si>
    <t>Berufliche Nachweise in Kopie sind beizulegen</t>
  </si>
  <si>
    <t xml:space="preserve"> </t>
  </si>
  <si>
    <t>Beruflicher Lebenslauf (chronologische Kurzfassung) ist beizulegen</t>
  </si>
  <si>
    <r>
      <rPr>
        <sz val="10"/>
        <rFont val="Arial"/>
        <family val="2"/>
      </rPr>
      <t>Anlage Nr.</t>
    </r>
    <r>
      <rPr>
        <sz val="10"/>
        <rFont val="Calibri"/>
        <family val="2"/>
      </rPr>
      <t xml:space="preserve"> </t>
    </r>
  </si>
  <si>
    <t>ggf. zusätzliche Qualifikationen im Hinblick auf</t>
  </si>
  <si>
    <t>die Projektaufgabe</t>
  </si>
  <si>
    <t>Firmenposition</t>
  </si>
  <si>
    <t>9.2</t>
  </si>
  <si>
    <t xml:space="preserve">ggf. zusätzliche Qualifikationen im Hinblick auf </t>
  </si>
  <si>
    <t>9.3</t>
  </si>
  <si>
    <t>zu 9)</t>
  </si>
  <si>
    <t>Nachweise der fachlichen Eignung</t>
  </si>
  <si>
    <t>bei Nichtvorlage der folgenden Unterlagen</t>
  </si>
  <si>
    <t>Nichtberücksichtung des Teilnahmeantrags</t>
  </si>
  <si>
    <t>zu 9.1)</t>
  </si>
  <si>
    <t>Projektleiter - berufliche Nachweise, beruflicher Lebenslauf</t>
  </si>
  <si>
    <t>zu 9.2)</t>
  </si>
  <si>
    <t>stellv. Projektleiter - berufliche Nachweise, beruflicher Lebenslauf</t>
  </si>
  <si>
    <t>10)</t>
  </si>
  <si>
    <t>bei Nichtvorlage der Erklärung</t>
  </si>
  <si>
    <t>zu 9.3)</t>
  </si>
  <si>
    <t xml:space="preserve"> = 3 Pkt.</t>
  </si>
  <si>
    <t>ü</t>
  </si>
  <si>
    <t>Punkteschema</t>
  </si>
  <si>
    <t xml:space="preserve"> -</t>
  </si>
  <si>
    <t>Punktevergabe</t>
  </si>
  <si>
    <t>erreichte Punktzahl</t>
  </si>
  <si>
    <t xml:space="preserve">Honorarzone </t>
  </si>
  <si>
    <t>3.2</t>
  </si>
  <si>
    <t xml:space="preserve">Studiennachweise und Bescheinigungen der beruflichen Befähigung </t>
  </si>
  <si>
    <t>Zertifikate des Unternehmens</t>
  </si>
  <si>
    <t>b)</t>
  </si>
  <si>
    <t xml:space="preserve">Fehlende Zertifikate des Unternehmens </t>
  </si>
  <si>
    <t>zu 3.2)</t>
  </si>
  <si>
    <t>QUALIFIKATION DES ZUM EINSATZ KOMMENDEN PERSONALS</t>
  </si>
  <si>
    <t>anrechenbare Kosten (netto)</t>
  </si>
  <si>
    <t>Bemerkungen (z. B. Nachlässe, Aufschläge, sonstiges)</t>
  </si>
  <si>
    <r>
      <t xml:space="preserve">Ausstattung, Geräte, Technische Ausrüstung der für die </t>
    </r>
    <r>
      <rPr>
        <b/>
        <u/>
        <sz val="10"/>
        <rFont val="Arial"/>
        <family val="2"/>
      </rPr>
      <t>ausgeschriebene</t>
    </r>
    <r>
      <rPr>
        <b/>
        <sz val="10"/>
        <rFont val="Arial"/>
        <family val="2"/>
      </rPr>
      <t xml:space="preserve"> Planungsleistung </t>
    </r>
    <r>
      <rPr>
        <b/>
        <u/>
        <sz val="10"/>
        <rFont val="Arial"/>
        <family val="2"/>
      </rPr>
      <t>relevanten</t>
    </r>
    <r>
      <rPr>
        <b/>
        <sz val="10"/>
        <rFont val="Arial"/>
        <family val="2"/>
      </rPr>
      <t xml:space="preserve"> Abteilung/en gem. § 46 (3) 3 VgV</t>
    </r>
  </si>
  <si>
    <t>6, 7, 8, 11</t>
  </si>
  <si>
    <t>zu 11)</t>
  </si>
  <si>
    <t>Max. Gesamtpunkte</t>
  </si>
  <si>
    <t>Umgang mit öffentlichen Projekten (AG), Vergabeverfahren (öffentliche/offene Verfahren), produktneutraler Ausschreibung, sowie dem Vergabehandbuch Bayern?</t>
  </si>
  <si>
    <t>Es sollen Projekte als Referenzen beigefügt werden, deren Auswahl sich zur Beurteilung der fachlichen Eignung an der Vergleichbarkeit (Projektbeschreibung, Projektgröße, usw.) zur gestellten Bauaufgabe orientiert. Nachgewiesen werden soll die Erfahrung mit vergleichbaren Projekten.</t>
  </si>
  <si>
    <t xml:space="preserve"> ≥ 3</t>
  </si>
  <si>
    <t>Gesamt</t>
  </si>
  <si>
    <t>Präsentation</t>
  </si>
  <si>
    <t>6.</t>
  </si>
  <si>
    <t>Zeitmanagement des Bieters im Rahmen der Präsentation</t>
  </si>
  <si>
    <t>Antworten auf fachliche Nachfragen des Gremiums</t>
  </si>
  <si>
    <t xml:space="preserve">Im Rahmen der Präsentation der Konzeptschwerpunkte werden ferner folgende Aspekte gewertet: </t>
  </si>
  <si>
    <t xml:space="preserve">Bewertung der Kriterien gemäß Ziffern 1 und 4 sowie gemäß Ziffern 2a, b und c, 5	</t>
  </si>
  <si>
    <t>Berufserfahrung des vorgesehenen Bauleiters</t>
  </si>
  <si>
    <t>Bauleitung  - berufliche Nachweise, beruflicher Lebenslauf</t>
  </si>
  <si>
    <t>Planungsnebenkosten</t>
  </si>
  <si>
    <t>Bewertungsbogen Konzept/Präsentation</t>
  </si>
  <si>
    <t>= 1</t>
  </si>
  <si>
    <r>
      <t xml:space="preserve">Mitarbeiterstruktur der für die </t>
    </r>
    <r>
      <rPr>
        <b/>
        <u/>
        <sz val="10"/>
        <color theme="3" tint="0.39997558519241921"/>
        <rFont val="Arial"/>
        <family val="2"/>
      </rPr>
      <t>ausgeschriebene</t>
    </r>
    <r>
      <rPr>
        <b/>
        <sz val="10"/>
        <color theme="3" tint="0.39997558519241921"/>
        <rFont val="Arial"/>
        <family val="2"/>
      </rPr>
      <t xml:space="preserve"> Planungsleistung </t>
    </r>
    <r>
      <rPr>
        <b/>
        <u/>
        <sz val="10"/>
        <color theme="3" tint="0.39997558519241921"/>
        <rFont val="Arial"/>
        <family val="2"/>
      </rPr>
      <t>relevanten</t>
    </r>
    <r>
      <rPr>
        <b/>
        <sz val="10"/>
        <color theme="3" tint="0.39997558519241921"/>
        <rFont val="Arial"/>
        <family val="2"/>
      </rPr>
      <t xml:space="preserve"> Abteilung/en</t>
    </r>
  </si>
  <si>
    <t>Bei Nichtvorlage Organigramm</t>
  </si>
  <si>
    <t xml:space="preserve"> %</t>
  </si>
  <si>
    <t>Büro:</t>
  </si>
  <si>
    <t>Referenz-Nummer:</t>
  </si>
  <si>
    <t>Referenzprojekt:</t>
  </si>
  <si>
    <t>ja/nein</t>
  </si>
  <si>
    <t>ja -&gt; Beschreibung:</t>
  </si>
  <si>
    <t>Angabe in %</t>
  </si>
  <si>
    <t>Wettbewerbs- kriterium 1</t>
  </si>
  <si>
    <t>Wettbewerbs- kriterium 2</t>
  </si>
  <si>
    <t>Wettbewerbs- kriterium 4</t>
  </si>
  <si>
    <t>Wettbewerbs- kriterium 5</t>
  </si>
  <si>
    <t xml:space="preserve">Beschreibung:
</t>
  </si>
  <si>
    <t>Wettbewerbs-
kriterium 1</t>
  </si>
  <si>
    <t>Wettbewerbs-
kriterium 2</t>
  </si>
  <si>
    <t>Wettbewerbs-
kriterium 3</t>
  </si>
  <si>
    <t>Wettbewerbs-
kriterium 4</t>
  </si>
  <si>
    <t>Wettbewerbs-
kriterium 5</t>
  </si>
  <si>
    <r>
      <t xml:space="preserve">û
</t>
    </r>
    <r>
      <rPr>
        <b/>
        <sz val="8"/>
        <color rgb="FFFF0000"/>
        <rFont val="Arial"/>
        <family val="2"/>
      </rPr>
      <t>keine Wertung</t>
    </r>
  </si>
  <si>
    <t>Datum:</t>
  </si>
  <si>
    <r>
      <t>Bezeichnung des Projekts</t>
    </r>
    <r>
      <rPr>
        <b/>
        <sz val="10"/>
        <rFont val="Arial"/>
        <family val="2"/>
      </rPr>
      <t xml:space="preserve"> 
(Benennung des BH einschl. Kontaktdaten)</t>
    </r>
  </si>
  <si>
    <t xml:space="preserve"> ≥ 2</t>
  </si>
  <si>
    <t>&lt; zwei wertbare Referenzen 
= Nichtberücksichtung des Teilnahmeantrags</t>
  </si>
  <si>
    <t>Basissatz</t>
  </si>
  <si>
    <r>
      <t xml:space="preserve">û
</t>
    </r>
    <r>
      <rPr>
        <b/>
        <sz val="8"/>
        <rFont val="Arial"/>
        <family val="2"/>
      </rPr>
      <t>oder keine Angabe</t>
    </r>
  </si>
  <si>
    <t>Sehr geehrte Damen und Herren,
wir bitten Sie, für die Bewerbung Folgendes zu beachten:</t>
  </si>
  <si>
    <t>I. Bewerbung/Teilnahmeantrag</t>
  </si>
  <si>
    <t>2. Der ausgefüllte Bewerbungsbogen ist elektronisch auf der Vergabeplattform als PDF einzustellen. Anlagen sind fortlaufend zu nummerieren. Änderungen und Erweiterungen in den vorgegebenen Texten sind nicht zulässig.</t>
  </si>
  <si>
    <t>II. Aufforderung zur Abgabe eines Angebots/Konzepts, Verhandlungsverfahren/Präsentation</t>
  </si>
  <si>
    <t>1. Im Formblatt Honorarangebot sind durch den Bewerber die Parameter in den gelb hinterlegten Feldern zwingend anzugeben. Der Bieter/Bewerber hat dabei auch die aus seiner Sicht gerechtfertigten Teilleistungspunkte (%-Angaben) für die jeweiligen Leistungsphasen gemäß der HOAI anzugeben, welche aus seiner Sicht im Hinblick auf die in den Teilnahmeunterlagen gerechtfertigt erscheinen. Der Bieter hat darüber hinaus die Möglichkeit, auf das gem. den Parametern des Formblatts "Honorarangebot" zu ermittelnde Honorar einen Nachlass zu gewähren bzw. einen Aufschlag zu verlangen. Dieser ist in dem Feld "Bemerkungen" des Formblatts Honorarangebot in %-Sätzen anzugeben. Es sind klar und unmissverständlich die Honorar-Bestandteile (Grundleistungen und/oder Besondere Leistungen) zu bezeichnen, auf welche sich der Nachlass bzw. der Aufschlag bezieht.</t>
  </si>
  <si>
    <t>III. Allgemein</t>
  </si>
  <si>
    <t xml:space="preserve">3. Im Rahmen der Verhandlung wird den Bietern nochmal Gelegenheit gegeben, ihr Angebot noch einmal nachzubessern/anzupassen. Der AG behält sich jedoch vor, das Erstangebot zu beauftragen, ohne in Verhandlung zu treten. Die ggf. geforderte Einreichung des nachgebesserten Angebots hat über die Plattform zu erfolgen. </t>
  </si>
  <si>
    <t xml:space="preserve">Mindestkriterium / Wertungs- kriterium Nummer </t>
  </si>
  <si>
    <t>Mindest- kriterium 1</t>
  </si>
  <si>
    <t>Mindest- kriterium 2</t>
  </si>
  <si>
    <t>Stempel, Name (Textform zugelassen)</t>
  </si>
  <si>
    <t>sonstige Mitarbeiter*innen</t>
  </si>
  <si>
    <t>Ingenieur*in</t>
  </si>
  <si>
    <t>Auftragnehmer*in/Inhaber*in</t>
  </si>
  <si>
    <t>Erstellung Verwendungsnachweis</t>
  </si>
  <si>
    <t xml:space="preserve">Gewerkeweise Budgetierung und Aufteilung der Kostenberechnung der LPH3 </t>
  </si>
  <si>
    <t>§§ 34, 35</t>
  </si>
  <si>
    <t>Leistungsphasen und Bewertung
HOAI</t>
  </si>
  <si>
    <t>Honorarsatz</t>
  </si>
  <si>
    <r>
      <t xml:space="preserve">û
</t>
    </r>
    <r>
      <rPr>
        <b/>
        <sz val="8"/>
        <rFont val="Arial"/>
        <family val="2"/>
      </rPr>
      <t>weniger oder keine Angabe</t>
    </r>
  </si>
  <si>
    <t>netto €</t>
  </si>
  <si>
    <t>Bei fehlenden Angaben oder nicht eindeutigen Angaben 
-&gt; keine Wertung der Referenz!
Sind Mindestkriterien nicht erfüllt -&gt; keine Wertung der Referenz!</t>
  </si>
  <si>
    <t>keine Angaben -&gt; Nichtberücksichtigung des Teilnahmeantrags</t>
  </si>
  <si>
    <t>Baukosten der KGR 300 - 400 
im Sinne der DIN 276 (€ netto)</t>
  </si>
  <si>
    <t>Nichtberücksichtung des Teilnahmeantrags -&gt; bei fehlenden Unterlagen bzw. Nichterfüllung der geforderten Berufsabschlüsse/Berufsbezeichnungen</t>
  </si>
  <si>
    <t>geförderte Maßnahme</t>
  </si>
  <si>
    <t>öffentlicher AG</t>
  </si>
  <si>
    <t>2.8</t>
  </si>
  <si>
    <t>2.9</t>
  </si>
  <si>
    <t xml:space="preserve">Angaben zur Verwendung einer Einheitlichen Europäischen Eigenerklärung (EEE) (§50 VgV): Das Unternehmen hat eine Einheitliche Europäische Eigenerklärung (EEE) als vorläufigen Nachweis ausgefüllt und als Anlage hochgeladen.                         </t>
  </si>
  <si>
    <t>ja:                                                                          nein:
Falls "ja", bitte als Anlage zum Bewerberbogen hochladen. Falls eine bereits bei einer früheren Auftragsvergabe verwendete Einheitliche Europäische Eigenerklärung wiederverwendet wird, muss das Unternehmen bestätigen, dass die darin enthaltenen Informationen weiterhin zutreffend sind.</t>
  </si>
  <si>
    <t>3</t>
  </si>
  <si>
    <t>Zertifikate</t>
  </si>
  <si>
    <t>Ist das Unternehmen in den einschlägigen Berufs- oder Handelsregistern seines Niederlassungsmitgliedstaates eingetragen?</t>
  </si>
  <si>
    <t xml:space="preserve">Falls "ja", ist ein aktueller Auszug (nicht älter als 6 Monate) in Kopie beizufügen </t>
  </si>
  <si>
    <t>Mitarbeiter mit Abschluss in Fachrichtung Architektur (Dipl.-Ing. univ/TU/TH/FH, Bachelor, Master o. vglb.)</t>
  </si>
  <si>
    <t>1</t>
  </si>
  <si>
    <t>Liegen Ausschlusskriterien nach VgV §§ 42, 48 sowie GWB §§ 123, 124 vor?</t>
  </si>
  <si>
    <t>Ja:</t>
  </si>
  <si>
    <t>Nein:</t>
  </si>
  <si>
    <t>Falls ja, ist als Anlage eine gesonderte Erklärung in Textform abzugeben,
die alle erforderlichen Angaben zum Sachverhalt und zu einer eventuellen Selbstreinigung nach § 125 GWB enthält.</t>
  </si>
  <si>
    <t xml:space="preserve">Sind Sie als Bewerber bzw. ist ein nach Satzung oder Gesetz für den Bewerber Vertretungsberechtigter in den letzten zwei Jahren </t>
  </si>
  <si>
    <t>• gem. § 21 Abs. 1 Satz 1 oder 2 Schwarzarbeitsbekämpfungsgesetz oder</t>
  </si>
  <si>
    <t>• gem. § 21 Abs. 1 Arbeitnehmerentsendegesetz oder</t>
  </si>
  <si>
    <t>• gem. § 19 Abs. 1 Mindestlohngesetz mit einer Freiheitsstrafe von mehr als drei Monaten oder einer Geldstrafe von mehr als 90 Tagessätzen oder einer Geldbuße von mehr als 2.500 Euro belegt worden?</t>
  </si>
  <si>
    <t>Falls ja, ist eine Erklärung in Textform abzugeben, die alle erforderlichen Angaben zum Sachverhalt enthält sowie etwaige Maßnahmen zur Verhinderung weiterer Verstöße beschreibt.</t>
  </si>
  <si>
    <t>Eigenerklärung Bezug Russland</t>
  </si>
  <si>
    <t>127 / L 127 / III.27</t>
  </si>
  <si>
    <t>(Erklärung Bezug Russland)</t>
  </si>
  <si>
    <t>Entsprechend der Verordnung (EU) 2022/576 dürfen öffentliche Aufträge und Konzessionen nach dem 9. April 2022 nicht an Personen oder Unternehmen vergeben werden, die einen Bezug zu Russland im Sinne der Vorschrift aufweisen. Dies um- 
fasst sowohl unmittelbar als Bewerber, Bieter oder Auftragnehmer auftretende Personen oder Unternehmen als auch mittel-
bar, mit mehr als zehn Prozent, gemessen am Auftragswert, beteiligte Unterauftragnehmer, Lieferanten oder Eignungs-
verleiher.</t>
  </si>
  <si>
    <r>
      <t xml:space="preserve">Ein </t>
    </r>
    <r>
      <rPr>
        <b/>
        <u/>
        <sz val="10"/>
        <rFont val="Arial"/>
        <family val="2"/>
      </rPr>
      <t>Bezug zu Russland im Sinne der Vorschrift</t>
    </r>
    <r>
      <rPr>
        <sz val="10"/>
        <rFont val="Arial"/>
        <family val="2"/>
      </rPr>
      <t xml:space="preserve"> besteht</t>
    </r>
  </si>
  <si>
    <r>
      <t>a)</t>
    </r>
    <r>
      <rPr>
        <sz val="7"/>
        <rFont val="Times New Roman"/>
        <family val="1"/>
      </rPr>
      <t xml:space="preserve">      </t>
    </r>
    <r>
      <rPr>
        <sz val="10"/>
        <rFont val="Arial"/>
        <family val="2"/>
      </rPr>
      <t xml:space="preserve">durch die </t>
    </r>
    <r>
      <rPr>
        <b/>
        <sz val="10"/>
        <rFont val="Arial"/>
        <family val="2"/>
      </rPr>
      <t>russische Staatsangehörigkeit</t>
    </r>
    <r>
      <rPr>
        <sz val="10"/>
        <rFont val="Arial"/>
        <family val="2"/>
      </rPr>
      <t xml:space="preserve"> des Bewerbers/Bieters oder die </t>
    </r>
    <r>
      <rPr>
        <b/>
        <sz val="10"/>
        <rFont val="Arial"/>
        <family val="2"/>
      </rPr>
      <t xml:space="preserve">Niederlassung </t>
    </r>
    <r>
      <rPr>
        <sz val="10"/>
        <rFont val="Arial"/>
        <family val="2"/>
      </rPr>
      <t>des Bewerbers/Bieters in Russland,</t>
    </r>
  </si>
  <si>
    <r>
      <t>b)</t>
    </r>
    <r>
      <rPr>
        <sz val="7"/>
        <rFont val="Times New Roman"/>
        <family val="1"/>
      </rPr>
      <t xml:space="preserve">      </t>
    </r>
    <r>
      <rPr>
        <sz val="10"/>
        <rFont val="Arial"/>
        <family val="2"/>
      </rPr>
      <t xml:space="preserve">durch die Beteiligung einer natürlichen Person oder eines Unternehmens, auf die eines der Kriterien nach Buchstabe a zutrifft, am Bewerber/Bieter über das </t>
    </r>
    <r>
      <rPr>
        <b/>
        <sz val="10"/>
        <rFont val="Arial"/>
        <family val="2"/>
      </rPr>
      <t>Halten von Anteilen im Umfang von mehr als 50 Prozent</t>
    </r>
    <r>
      <rPr>
        <sz val="10"/>
        <rFont val="Arial"/>
        <family val="2"/>
      </rPr>
      <t>,</t>
    </r>
  </si>
  <si>
    <r>
      <t>c)</t>
    </r>
    <r>
      <rPr>
        <sz val="7"/>
        <rFont val="Times New Roman"/>
        <family val="1"/>
      </rPr>
      <t xml:space="preserve">       </t>
    </r>
    <r>
      <rPr>
        <sz val="10"/>
        <rFont val="Arial"/>
        <family val="2"/>
      </rPr>
      <t xml:space="preserve">durch das Handeln der Bewerber/Bieter im Namen oder </t>
    </r>
    <r>
      <rPr>
        <b/>
        <sz val="10"/>
        <rFont val="Arial"/>
        <family val="2"/>
      </rPr>
      <t>auf Anweisung von Personen oder Unternehmen</t>
    </r>
    <r>
      <rPr>
        <sz val="10"/>
        <rFont val="Arial"/>
        <family val="2"/>
      </rPr>
      <t>, auf die die Kriterien der Buchstaben a) und/oder b) zutreffen.</t>
    </r>
  </si>
  <si>
    <t>Bereits vor dem 9. April 2022 geschlossene Verträge mit solchen Personen oder Unternehmen mit Bezug zu Russland dürfen nur bis zum 10. Oktober 2022 fortgeführt werden.</t>
  </si>
  <si>
    <t>Maßnahmennummer:</t>
  </si>
  <si>
    <r>
      <t xml:space="preserve">Ich/ Wir erkläre(n), dass für mein/ unser Unternehmen </t>
    </r>
    <r>
      <rPr>
        <b/>
        <sz val="10"/>
        <rFont val="Arial"/>
        <family val="2"/>
      </rPr>
      <t xml:space="preserve">keiner </t>
    </r>
    <r>
      <rPr>
        <sz val="10"/>
        <rFont val="Arial"/>
        <family val="2"/>
      </rPr>
      <t>der in den Buchstaben a) bis c) genannten Fälle zutrifft.</t>
    </r>
  </si>
  <si>
    <t>Ich/ Wir erkläre(n), dass ich/ wir zur Ausführung des Auftrags für Teile der Leistung</t>
  </si>
  <si>
    <t>Zu 2.8)</t>
  </si>
  <si>
    <t>Eigenerklärung Bezug auf Russland</t>
  </si>
  <si>
    <t>Bei Nichtvorlage Eigenerklärung Bezug auf Russland</t>
  </si>
  <si>
    <t>Zu 2.9)</t>
  </si>
  <si>
    <t>Einheitliche Europäische Eigenerklärung (EEE)</t>
  </si>
  <si>
    <t>3. Vorlage von Nachweisen, Angaben und Unterlagen:‎</t>
  </si>
  <si>
    <t>4. Zulässige Einzelbewerbung oder Bietergemeinschaft, an die der Auftrag vergeben ‎werden kann: Einzelbewerber oder Arbeitsgemeinschaft (ARGE), ‎gesamtschuldnerisch haftend mit bevollmächtigtem Vertreter. 
Mehrfachbewerbungen einzelner Mitglieder einer ARGE sind unzulässig und ‎führen zur Nichtberücksichtigung sämtlicher betroffener ‎Bewerbergemeinschaften im weiteren Verfahren (dies gilt auch für ‎Subunternehmer).‎</t>
  </si>
  <si>
    <t>10. Die Bewerbungsunterlagen werden nicht zurückgegeben. Sonstige Unterlagen wie Firmenbroschüren o. ä. werden nicht berücksichtigt und sind nicht erwünscht.</t>
  </si>
  <si>
    <t>11. Die von Ihnen erbetenen personenbezogenen Angaben werden im Rahmen des ‎Vergabeverfahrens verarbeitet und gespeichert. Ihre Angaben sind ‎Voraussetzung für die Wertung Ihrer Bewerbung.</t>
  </si>
  <si>
    <t xml:space="preserve">12. Bei Vergabeverfahren ist das Formblatt „III.27 Erklärung Bezug Russland“  von allen Bieter auszufüllen (MS Az 3-4000-1-19-10 vom 19.04.2022). Bei Bietergemeinschaften ist die Erklärung von sämtlichen Mitgliedern auszufüllen. Angebote von Bietern, die die Erklärung trotz Aufforderung nicht oder nicht vollständig ausgefüllt abgeben, werden ausgeschlossen. </t>
  </si>
  <si>
    <t>Projektleiter (mit Berufsabschluss/Berufsbezeichnung als Architekt)</t>
  </si>
  <si>
    <t>stellv. Projektleitung (mit Berufsabschluss/Berufsbezeichnung als Architekt)</t>
  </si>
  <si>
    <t>optional - siehe Teilnahmebedigungen</t>
  </si>
  <si>
    <t>(Name, Anschrift und Ust.-ID-Nr. des Unternehmens - Textform zugelassen)</t>
  </si>
  <si>
    <t>Falls "ja" Angabe des vertretungsberechtigten Büro</t>
  </si>
  <si>
    <t>9. Arbeitsgemeinschaften müssen je Mitglied einen Formularsatz einreichen. Arbeitsgemeinschaften müssen sich auch als solche bewerben und das vertretungsberechtigte Büro angeben. Die Ansprechpartner für Projektleiter und stellv. Projektleiter sind zu benennen. Eine Wertung der Referenzen der Teilnehmer der ARGE erfolgt nach Maßgabe unter Punkt 8.</t>
  </si>
  <si>
    <t>6. Die gelb hinterlegten Felder des Bewerbungsformblatts sind zwingend auszufüllen, die grau hinterlegten Felder bei Bedarf. Bewerbungen mit fehlenden Angaben bei Pflichtfeldern sowie fehlenden Nachweisen werden nicht berücksichtigt und führen in der Regel zum Ausschluss des Teilnahmeantrags. Änderungen, Abweichungen und Nichteinhaltungen sind zu kommentieren.</t>
  </si>
  <si>
    <t>Eintragung Inhaber/Führungskraft in das Berufsregister</t>
  </si>
  <si>
    <t xml:space="preserve">Punkte </t>
  </si>
  <si>
    <t>Inhaber/Führungskraft</t>
  </si>
  <si>
    <t>Fehlende Eintragung in einschlägige Berufs- oder Handelsregister (sofern einschlägig)</t>
  </si>
  <si>
    <t>b) Studiennachweise und Bescheinigungen der beruflichen Befähigung Inhaber/Führungskräft</t>
  </si>
  <si>
    <r>
      <t>7. Im Rahmen des Teilnahmewettbewerbs wird die Fachkunde, Leistungsfähigkeit und Zuverlässigkeit gemäß VgV § 42 - 51 bewertet. Die im Einzelnen maßgebenden Kriterien und Wichtungen für die Wertung der Bewerbungen entnehmen Sie bitte beiliegendem Bewertungsschema. Die Auswahl der Teilnehmer erfolgt nach formaler Prüfung der Vollständigkeit der ‎in den Vergabeunterlagen geforderten Erklärungen und Nachweise, auf der ‎Grundlage des einheitlichen Bewertungsschemas. Die maximal mögliche Gesamtpunktzahl beträgt</t>
    </r>
    <r>
      <rPr>
        <b/>
        <sz val="10"/>
        <rFont val="Arial"/>
        <family val="2"/>
      </rPr>
      <t xml:space="preserve"> </t>
    </r>
    <r>
      <rPr>
        <b/>
        <sz val="10"/>
        <color rgb="FF00B050"/>
        <rFont val="Arial"/>
        <family val="2"/>
      </rPr>
      <t>405 Punkte</t>
    </r>
    <r>
      <rPr>
        <b/>
        <sz val="10"/>
        <rFont val="Arial"/>
        <family val="2"/>
      </rPr>
      <t xml:space="preserve">. </t>
    </r>
    <r>
      <rPr>
        <sz val="10"/>
        <rFont val="Arial"/>
        <family val="2"/>
      </rPr>
      <t xml:space="preserve">
Die Bewerber (3 – 5) mit der höchsten Bewertung werden zur Verhandlung ‎aufgefordert. Bei Punktgleichheit und wenn keine weitere Differenzierung mehr ‎möglich ist, entscheidet das Los über die Teilnahme am weiteren ‎Verhandlungsverfahren.‎</t>
    </r>
  </si>
  <si>
    <t>jede Zeile ist auszufüllen - bei fehlenden Angaben oder nicht eindeutigen Angaben 
-&gt; keine Wertung der Referenz
Die Mindestkriterien sind zwingend zu erfüllen -&gt; ansonsten keine Wertung der Referenz</t>
  </si>
  <si>
    <t>Eigenerklärung Bezug Russland (Hierzu ist das ausgefüllte Beiblatt 'Eigenerklärung Bezug Russland' beizulegen):</t>
  </si>
  <si>
    <t>der für das konkrete Projekt für die Bauleitung vorgesehene Verantwortliche (Bauleiter mit Berufsabschluss/Berufsbezeichnung als Ingenieur, Architekt, Meister, Techniker oder vergleichbar - jeweils Fachrichtung Bau)</t>
  </si>
  <si>
    <t>Der Auftraggeber möchte sicherstellen, dass durch das vorgesehene Personal eine zügige Durchführung des Projekts gewährleistet ist. Bitte zeigen sie auf, mit welchen personellen Mitteln Sie dies einhalten wollen. Erstellen Sie hierzu bitte einen Personaleinsatzplan inkl. den entsprechenden Vollzeitäquivalenten.</t>
  </si>
  <si>
    <t xml:space="preserve">Der Bieter soll zeigen, dass er sich gedanklich bereits ein erstes Mal mit dem Projekt auseinandergesetzt hat und zur Entwicklung praktikabler Lösungsansätze in der Lage ist. Hier kann der Bieter darlegen, wie eine Aufteilung der einzelnen Funktionsbereiche und Verkehrswege aussehen könnte. Ferner kann der Bieter erste gestalterische Überlegungen darlegen. Dies kann in Textform, gerne aber auch anhand von Grob-/Handskizzen erfolgen. Der Bieter soll ferner darlegen, wo die Herausforderungen des konkreten Projekts liegen. Der Auftraggeber erwartet hier ausdrücklich noch keinen vertieften Einstieg in die Planung. </t>
  </si>
  <si>
    <t>Wettbewerbs-
kriterium 6</t>
  </si>
  <si>
    <t>Wettbewerbs- kriterium 6</t>
  </si>
  <si>
    <t>Wie gestalten Sie Ihre Zusammenarbeit und Kommunikation mit den anderen
Projektbeteiligten und dem Auftraggeber?</t>
  </si>
  <si>
    <t>Kostensteuerungsprogramm</t>
  </si>
  <si>
    <t>Alternativ zum Ausfüllen der Punkte 3 - 11 des Bewerberbogens ist die Abgabe einer entsprechend ausgefüllten Einheitlichen Europäischen Eigenerklärung (EEE) zulässig. Die EEE kann nur die Angaben in den Punkten 3 - 11 des Bewerbungsformblatt ersetzen und ist als Anlage dem Bewerberbogen beizulegen. Der Bewerberbogen ist in allen übrigen Teilen auszufüllen und zusammen mit der ausgefüllten EEE und den ggf. geforderten Unterlagen auf die Vergabeplattform (www.deutsche-evergabe.de) hochzuladen; die zur EEE gehörenden Unterlagen sind entweder ebenfalls als Anlage hochzuladen oder gem. § 50 Abs. 3 Nr. 1 VgV elektronisch abrufbar unter einer anzugebenden Web-Adresse (URL) zur Verfügung zu stellen.</t>
  </si>
  <si>
    <r>
      <t>5. Die tatsächlichen Leistungserbringer (Personen) im Auftragsfall sind namentlich zu benennen und mit beruflicher Qualifikation anzugeben. Der Nachweis der fachlichen Qualifikation („Architekt") für den Inhaber, die Inhaberin oder mindestens einer Führungskraft des Unternehmens ist</t>
    </r>
    <r>
      <rPr>
        <sz val="10"/>
        <color rgb="FF00B050"/>
        <rFont val="Arial"/>
        <family val="2"/>
      </rPr>
      <t xml:space="preserve"> </t>
    </r>
    <r>
      <rPr>
        <sz val="10"/>
        <rFont val="Arial"/>
        <family val="2"/>
      </rPr>
      <t>durch Nachweis der Eintragung in das Berufsregister bzw. nach Art. 2 Bau KaG und durch Angaben zur Berufserfahrung in Jahren zu führen. Juristische Personen müssen für die Durchführung der Aufgabe einen verantwortlichen Berufsangehörigen benennen. Zudem hat der Bewerber / die ARGE im Bewerbungsbogen die Beschäftigtenzahl des Unternehmens (bzgl. Architekten, Ingenieur und weiterer Mitarbeiter) anzugeben. Für die als Projektleiter/stv. Projktleiter vorgesehenen Personen ist der Nachweis für den Berufsabschluss in Fachrichtung Architektur (Dipl.-Ing. univ/TU/TH/FH, Bachelor, Master o. vglb.) zu erbringen. Für die für das konkrete Projekt für die Bauleitung vorgesehene verantwortliche Person ist der Nachweis für einen Berufsabschluss/Berufsbezeichnung als Ingenieur, Architekt, Meister, Techniker oder vergleichbar - jeweils Fachrichtung Bau - zu erbringen.
Es ist ferner anzugeben, welche Teile des Auftrags das Unternehmen unter Umständen als ‎Unteraufträge zu vergeben beabsichtigt.‎</t>
    </r>
  </si>
  <si>
    <t>Die KUGLER Ingenieurbüro GmbH ist durch die Auslober zur Durchführung des Verfahrens beauftragt und erteilt sämtliche Auskünfte im Namen des Auftraggebers über die genannten Kontaktstellen. Die zum Vergabeverfahren gestellten Fragen werden neutralisiert, beantwortet und über die Vergabeplattform zur Verfügung gestellt.</t>
  </si>
  <si>
    <t>Mitarbeiter, die mit der Bauleitung betraut sind</t>
  </si>
  <si>
    <t>Die zu Punkt 6.1, ff. genannten Mitarbeiter müssen entsprechend ersichtlich sein.</t>
  </si>
  <si>
    <t>Architekten (Dipl.-Ing. univ/TU/TH/FH, Master, Bachelor o. vglb.)</t>
  </si>
  <si>
    <t>Überwachen der Mängelbeseitigung innerhalb der Verjährungsfrist (im Rahmen der Angebotslegung ist von 40 h auszugehen. Die Vergütung erfolgt aufwandsbezogen)</t>
  </si>
  <si>
    <r>
      <t xml:space="preserve">û
</t>
    </r>
    <r>
      <rPr>
        <b/>
        <sz val="8"/>
        <color theme="1"/>
        <rFont val="Arial"/>
        <family val="2"/>
      </rPr>
      <t>weniger oder keine Angabe</t>
    </r>
  </si>
  <si>
    <t>Sonstige Schäden     1,0 Mio. €</t>
  </si>
  <si>
    <t>Ausschreibungsprogramm (z. B. Bechmann, Orca)</t>
  </si>
  <si>
    <t>ja:                                             nein:</t>
  </si>
  <si>
    <t>Mithilfe bei der Fördermittelbeschaffung</t>
  </si>
  <si>
    <t>Umbau- und Modernisierungszuschlag § 6 Abs. 2 HOAI</t>
  </si>
  <si>
    <t>Wettbewerbs- kriterium 3</t>
  </si>
  <si>
    <t>Gesamt:</t>
  </si>
  <si>
    <t>Objekt</t>
  </si>
  <si>
    <t>Bestandsaufnahme</t>
  </si>
  <si>
    <t xml:space="preserve">Bauarbeiten im laufenden Betrieb </t>
  </si>
  <si>
    <t>Wettbewerbs-
kriterium 7</t>
  </si>
  <si>
    <t xml:space="preserve"> ≥ 4</t>
  </si>
  <si>
    <t xml:space="preserve"> = 3</t>
  </si>
  <si>
    <t xml:space="preserve"> ≥ 5</t>
  </si>
  <si>
    <r>
      <t xml:space="preserve"> </t>
    </r>
    <r>
      <rPr>
        <sz val="10"/>
        <rFont val="Aptos Narrow"/>
        <family val="2"/>
      </rPr>
      <t>≤</t>
    </r>
    <r>
      <rPr>
        <sz val="10"/>
        <rFont val="Arial"/>
        <family val="2"/>
      </rPr>
      <t xml:space="preserve"> 2</t>
    </r>
  </si>
  <si>
    <t>Weitere Herausforderungen des konkreten Projekts.</t>
  </si>
  <si>
    <t>Wettbewerbs- kriterium 7</t>
  </si>
  <si>
    <t xml:space="preserve">Teilnahme an öffentlichen Sitzungen bzw. sonstiger Gremien außerhalb der Bedarfsplaung (Preis für 1 Termin, Abrechnung erfolgt nach tatsächlicher Teilnahme) </t>
  </si>
  <si>
    <t>ff</t>
  </si>
  <si>
    <r>
      <t xml:space="preserve">2. Die Bieter haben neben dem Honorarangebot ein Konzept Darstellung einzureichen, welches inhaltlich auf die Zuschlagskriterien eingehen soll (siehe Wertung Zuschlagskriterien; 1 - 4). Die einzureichenden Konzeptunterlagen werden von einem vom Auftraggeber bestimmten Gremium (Bekanntgabe mit Einladungsschreiben/Angebotsaufforderung) </t>
    </r>
    <r>
      <rPr>
        <b/>
        <sz val="10"/>
        <rFont val="Arial"/>
        <family val="2"/>
      </rPr>
      <t>vorab</t>
    </r>
    <r>
      <rPr>
        <sz val="10"/>
        <rFont val="Arial"/>
        <family val="2"/>
      </rPr>
      <t xml:space="preserve"> bewertet.</t>
    </r>
    <r>
      <rPr>
        <b/>
        <sz val="10"/>
        <rFont val="Arial"/>
        <family val="2"/>
      </rPr>
      <t xml:space="preserve"> Im Nachgang</t>
    </r>
    <r>
      <rPr>
        <sz val="10"/>
        <rFont val="Arial"/>
        <family val="2"/>
      </rPr>
      <t xml:space="preserve"> wird den Bietern noch einmal die Gelegenheit gegeben, einzelne Schwerpunkte des Konzepts vor dem Gremium beim AG zu präsentieren. Die Präsentation muss dabei das Konzept nicht voll inhaltlich wiedergeben. Die Auswahl der Schwerpunkte bleibt dem Bieter überlassen und ist Bestandteil der Wertung (siehe Wertung Zuschlagskriterien). Da mit der Wertung der Präsentation die Qualifikation der maßgeblichen Projektbeteiligten (Projektleiter, stellvertretender Projektleiter und vorgesehener Bauleiter) gem. § 58 Abs. 2 Satz 2 Nr. 2 VgV bewertet werden soll, ist diese zwingend auch durch diese Personen zu halten. Die Aufteilung der Vortragsinhalte hat sich dabei an den voraussichtlichen Aufgaben im Projekt zu orientieren (z.B. Vortrag zu baulogistischen Themen durch den vorgesehenen Objektüberwacher, Vortrag zu Raum- und Funktionsaufteilung durch den planenden Projektleiter/stv. Projektleiter). Auf die Möglichkeit der Personenidentität zwischen Bauleiter und Projektleiter beziehungsweise Bauleiter und stellvertretendem Projektleiter wird hingewiesen. </t>
    </r>
    <r>
      <rPr>
        <b/>
        <sz val="10"/>
        <rFont val="Arial"/>
        <family val="2"/>
      </rPr>
      <t>Bitte beachten Sie das Gewichtungsverhältnis von Konzept - Honorarangebot- und Prästentationstermin (gem. Wertung Zuschlagskriterien).</t>
    </r>
  </si>
  <si>
    <t>Der Auftraggeber erwartet, dass der Projektleiter/ stellv. Projektleiter und Bauleiter, die zum Einsatz kommen, die entsprechende, einschlägige Berufserfahrung haben. Die Berufserfahrung soll persönlich anhand von Referenzprojekten dargestellt werden.
≥12 -jährige Berufserfahrung und 2 vergleichbare Referenzen erzielen volle Punktzahl (= 5 Pkt.)
&lt;12 -jährige Berufserfahrung ≥ 10 -jährige Berufserfahrung und 2 vergleichbare Referenzen erzielen 4 Pkt.
&lt;10 -jährige Berufserfahrung ≥ 6 -jährige Berufserfahrung und 2 vergleichbare Referenzen erzielen 3 Pkt.
&lt; 6 -jährige Berufserfahrung ≥ 4 -jährige Berufserfahrung und 2 vergleichbare Referenzen erzielen 2 Pkt.
&lt; 4 -jährige Berufserfahrung ≥ 1 -jährige Berufserfahrung und 2 vergleichbare Referenzen erzielen 1 Pkt.</t>
  </si>
  <si>
    <t xml:space="preserve">Schwerpunktsetzung und Fachlichkeit der Präsentationsbeiträge von Projektleiter/ stellv. Projektleiter und vorgesehenem Bauleiter. </t>
  </si>
  <si>
    <t>Das im Vergleich günstigste Honorarangebot erhält ungewichtet 5 Punkte.
Honorarangebote, die höher als das 1,8-fache des günstigsten Angebotes liegen, erhalten 0 Punkte.
Honorarangebote, die daziwschen liegen, werden linear interpoliert.
Das Honorar für optionale Leistungen fließt in die Wertung mit ein.</t>
  </si>
  <si>
    <t>Zeithonorar (1 Std.)</t>
  </si>
  <si>
    <t>a) Eintragung Inhaber/Führungskraft in Liste der Architekten-/Ingenieurkammer</t>
  </si>
  <si>
    <t>Bewertung Personaleinsatzplan Ziffer 2c</t>
  </si>
  <si>
    <t>Leistungen der Objektplanung für Gebäude und Innenräume gem. §§ 33 ff HOAI - LPH 1 - 9</t>
  </si>
  <si>
    <t>45
≥ 42</t>
  </si>
  <si>
    <t>&lt; 42
≥ 38</t>
  </si>
  <si>
    <t>&lt; 38
≥ 32</t>
  </si>
  <si>
    <t>&lt; 32
≥ 28</t>
  </si>
  <si>
    <t>&lt; 28
≥ 20</t>
  </si>
  <si>
    <t>&lt; 20</t>
  </si>
  <si>
    <r>
      <t xml:space="preserve">&gt; 2,5 Mio €
</t>
    </r>
    <r>
      <rPr>
        <b/>
        <sz val="10"/>
        <rFont val="Calibri"/>
        <family val="2"/>
      </rPr>
      <t>≤</t>
    </r>
    <r>
      <rPr>
        <b/>
        <sz val="10"/>
        <rFont val="Arial"/>
        <family val="2"/>
      </rPr>
      <t xml:space="preserve"> 3,0 Mio €</t>
    </r>
  </si>
  <si>
    <t>freistehender Neubau</t>
  </si>
  <si>
    <r>
      <rPr>
        <sz val="10"/>
        <rFont val="Arial"/>
        <family val="2"/>
      </rPr>
      <t xml:space="preserve">Die Vergleichbarkeit wird anhand folgender Kriterien beurteilt: </t>
    </r>
    <r>
      <rPr>
        <sz val="10"/>
        <color rgb="FF00B050"/>
        <rFont val="Arial"/>
        <family val="2"/>
      </rPr>
      <t xml:space="preserve">
</t>
    </r>
    <r>
      <rPr>
        <b/>
        <sz val="10"/>
        <color rgb="FF00B050"/>
        <rFont val="Arial"/>
        <family val="2"/>
      </rPr>
      <t xml:space="preserve">
</t>
    </r>
    <r>
      <rPr>
        <b/>
        <sz val="10"/>
        <color theme="3" tint="0.39997558519241921"/>
        <rFont val="Arial"/>
        <family val="2"/>
      </rPr>
      <t>Mindestkriterien:</t>
    </r>
    <r>
      <rPr>
        <sz val="10"/>
        <color rgb="FF00B050"/>
        <rFont val="Arial"/>
        <family val="2"/>
      </rPr>
      <t xml:space="preserve">
</t>
    </r>
    <r>
      <rPr>
        <u/>
        <sz val="10"/>
        <rFont val="Arial"/>
        <family val="2"/>
      </rPr>
      <t>Es werden nur Referenzen gewertet welche die folgenden Kriterien zwingend erfüllen:</t>
    </r>
    <r>
      <rPr>
        <sz val="10"/>
        <rFont val="Arial"/>
        <family val="2"/>
      </rPr>
      <t xml:space="preserve">
</t>
    </r>
    <r>
      <rPr>
        <sz val="10"/>
        <color rgb="FF00B050"/>
        <rFont val="Arial"/>
        <family val="2"/>
      </rPr>
      <t xml:space="preserve">
</t>
    </r>
  </si>
  <si>
    <r>
      <rPr>
        <b/>
        <sz val="10"/>
        <color theme="3" tint="0.39997558519241921"/>
        <rFont val="Arial"/>
        <family val="2"/>
      </rPr>
      <t>Wettbewerbskriterien:</t>
    </r>
    <r>
      <rPr>
        <sz val="10"/>
        <color rgb="FF00B050"/>
        <rFont val="Arial"/>
        <family val="2"/>
      </rPr>
      <t xml:space="preserve">
</t>
    </r>
    <r>
      <rPr>
        <u/>
        <sz val="10"/>
        <rFont val="Arial"/>
        <family val="2"/>
      </rPr>
      <t xml:space="preserve">Folgende Kriterien werden als Kriterien im Rahmen des Teilnahmewettbewerbs zusätzlich herangezogen:
</t>
    </r>
    <r>
      <rPr>
        <sz val="10"/>
        <color rgb="FF00B050"/>
        <rFont val="Arial"/>
        <family val="2"/>
      </rPr>
      <t xml:space="preserve">
</t>
    </r>
  </si>
  <si>
    <t>Hierzu ist das ausgefüllte Beiblatt 'Büroreferenz (1, 2, ff)', sowie ein Beiblatt mit detaillierter Projektbeschreibung beizulegen. Pro Referenz sind nicht mehr als 5 Zusatzblätter zur Beschreibung des Projekts erwünscht.</t>
  </si>
  <si>
    <t>1 GE</t>
  </si>
  <si>
    <t>2 VP</t>
  </si>
  <si>
    <t>Erweiterung Grundschule</t>
  </si>
  <si>
    <t>Erstüberlegung zur Gestaltung</t>
  </si>
  <si>
    <t>Erstüberlegung zur Aufteilung der Funktionsbereiche</t>
  </si>
  <si>
    <t>Der Bieter hat darzulegen wie er sich die Umsetzung in Bezug auf Bauablauf und - Logistik vor dem Hintergrund vorstellt, dass die Maßnahme im laufenden Betrieb stattfindet.</t>
  </si>
  <si>
    <t>Mindestkriterium 1</t>
  </si>
  <si>
    <t>Mindestkriterium 2</t>
  </si>
  <si>
    <t>Verhandlungsverfahren - Mittagsbetreuung und Grundschulerweiterung Lenggries</t>
  </si>
  <si>
    <r>
      <t xml:space="preserve">1. Schlusstermin für den Eingang der Bewerbungsunterlagen auf der Vergabeplattform ist:
                                                    </t>
    </r>
    <r>
      <rPr>
        <sz val="10"/>
        <color theme="9" tint="-0.499984740745262"/>
        <rFont val="Arial"/>
        <family val="2"/>
      </rPr>
      <t xml:space="preserve">  </t>
    </r>
    <r>
      <rPr>
        <b/>
        <sz val="10"/>
        <color theme="9" tint="-0.499984740745262"/>
        <rFont val="Arial"/>
        <family val="2"/>
      </rPr>
      <t xml:space="preserve">                   </t>
    </r>
    <r>
      <rPr>
        <b/>
        <sz val="10"/>
        <color rgb="FFC00000"/>
        <rFont val="Arial"/>
        <family val="2"/>
      </rPr>
      <t xml:space="preserve">   12.03.2026/10:00</t>
    </r>
  </si>
  <si>
    <r>
      <t>a. Bewerber haben zum Nachweis der Eignung mit der Bewerbung den ‎beigefügten Bewerbungsbogen vollständig ausgefüllt vorzulegen und die ‎entsprechenden geforderten Nachweise beizufügen.‎ Der Auftraggeber hat gem. § 56 (2) VgV festgelegt, dass keine Unterlagen nachgefordert werden. Die Nichtvorlage führt zum Ausschluss aus dem Wettbewerb. Die nach Prüfung der Teilnahmeanträge ausgewählten Bewerber werden voraussichtlich in der</t>
    </r>
    <r>
      <rPr>
        <sz val="10"/>
        <color rgb="FF00B050"/>
        <rFont val="Arial"/>
        <family val="2"/>
      </rPr>
      <t xml:space="preserve"> </t>
    </r>
    <r>
      <rPr>
        <b/>
        <sz val="10"/>
        <color rgb="FF00B050"/>
        <rFont val="Arial"/>
        <family val="2"/>
      </rPr>
      <t>KW 13/ 2026</t>
    </r>
    <r>
      <rPr>
        <sz val="10"/>
        <rFont val="Arial"/>
        <family val="2"/>
      </rPr>
      <t xml:space="preserve"> zur Abgabe eines Honorarangebots sowie Einreichung eines Konzepts aufgefordert.
b. Die Bewerbererklärung ist von jedem Unternehmen (auch innerhalb einer ‎Bewerbergemeinschaft) und Subunternehmer/Nachunternehmer gesondert auszufüllen.‎</t>
    </r>
  </si>
  <si>
    <t>III</t>
  </si>
  <si>
    <t>Gebäude in der Honorarzone III</t>
  </si>
  <si>
    <t>&lt; 0,5 Mio. €</t>
  </si>
  <si>
    <t>≥ 0,5 Mio. €</t>
  </si>
  <si>
    <t xml:space="preserve">≥ 0,75 Mio. €    </t>
  </si>
  <si>
    <t>107-01</t>
  </si>
  <si>
    <r>
      <t xml:space="preserve">ü
</t>
    </r>
    <r>
      <rPr>
        <b/>
        <sz val="10"/>
        <rFont val="Arial"/>
        <family val="2"/>
      </rPr>
      <t>&gt;4,5 Mio €</t>
    </r>
  </si>
  <si>
    <r>
      <t xml:space="preserve">&gt; 4,0 Mio €
</t>
    </r>
    <r>
      <rPr>
        <b/>
        <sz val="10"/>
        <rFont val="Calibri"/>
        <family val="2"/>
      </rPr>
      <t>≤</t>
    </r>
    <r>
      <rPr>
        <b/>
        <sz val="10"/>
        <rFont val="Arial"/>
        <family val="2"/>
      </rPr>
      <t xml:space="preserve"> 4,5 Mio €</t>
    </r>
  </si>
  <si>
    <t>&gt; 3,5 Mio €
≤ 4,0 Mio €</t>
  </si>
  <si>
    <r>
      <t xml:space="preserve">&gt; 3,0 Mio €
</t>
    </r>
    <r>
      <rPr>
        <b/>
        <sz val="10"/>
        <rFont val="Calibri"/>
        <family val="2"/>
      </rPr>
      <t>≤</t>
    </r>
    <r>
      <rPr>
        <b/>
        <sz val="10"/>
        <rFont val="Arial"/>
        <family val="2"/>
      </rPr>
      <t xml:space="preserve"> 3,5 Mio €</t>
    </r>
  </si>
  <si>
    <t>Erweiterung an Bestand oder freistehender Neubau</t>
  </si>
  <si>
    <t xml:space="preserve"> Erweiterung an Bestand</t>
  </si>
  <si>
    <t xml:space="preserve">Anzahl erbrachter, zusammenhängender Leistungsphasen </t>
  </si>
  <si>
    <t>8-9
Leistungsphasen</t>
  </si>
  <si>
    <t>6-7
Leistungsphasen</t>
  </si>
  <si>
    <t>4-5
Leistungsphasen</t>
  </si>
  <si>
    <t>3-4
Leistungsphasen</t>
  </si>
  <si>
    <t xml:space="preserve"> 1-2
Leistungsphasen</t>
  </si>
  <si>
    <r>
      <t>8. Die Referenzangaben sind gemäß VgV § 46 (3) vorzulegen. Die Leistungsphase 8 muss abgeschlossen sein</t>
    </r>
    <r>
      <rPr>
        <b/>
        <sz val="10"/>
        <rFont val="Arial"/>
        <family val="2"/>
      </rPr>
      <t xml:space="preserve"> (Zeitraum 01.06.2019 - Veröffentlichungsdatum).</t>
    </r>
    <r>
      <rPr>
        <sz val="10"/>
        <rFont val="Arial"/>
        <family val="2"/>
      </rPr>
      <t xml:space="preserve"> Die Referenzen werden gemäß beigefügtem "Bewertungsschema Referenzen" bewertet und in der Gesamt-Auswertung berücksichtigt. Es sind 2 Referenzen vorzulegen (Formblatt "Büroreferenz" sowie ein Beiblatt mit detaillierter Projektbeschreibung gefordert). Es wird ein Mittelwert aus den einzelnen Referenz-Auswertungen gebildet. Das Gesamtpunkte-Ergebnis wird gemäß Bewertungsschema in die Gesamtauswertung übernommen (siehe Bewertungsschema Referenzen). Der Auftraggeber behält sich vor, bei den Bewerbern bzw. den Auftraggebern ‎Referenzauskünfte über die eingereichten Referenzen einzuholen. Bei ‎negativer Referenzauskunft wird dies im Rahmen der Bewertung ‎entsprechend berücksichtigt.</t>
    </r>
  </si>
  <si>
    <t>Abschluss LPH 8 (01.06.2019- Veröffentlichungsdatum 04.02.26)</t>
  </si>
  <si>
    <t>Bildungsstätte (Grund- und weiterführende Schulen, wie Haupt-Mittelschule, Realschule, Gymnasium, oder vergleichbar)</t>
  </si>
  <si>
    <r>
      <t xml:space="preserve">Der Bearbeitungszeitraum der Referenzobjekte erstreckt sich auf den Zeitraum </t>
    </r>
    <r>
      <rPr>
        <b/>
        <sz val="10"/>
        <rFont val="Arial"/>
        <family val="2"/>
      </rPr>
      <t>01.06.2019 - Veröffentlichungsdatum</t>
    </r>
    <r>
      <rPr>
        <sz val="10"/>
        <rFont val="Arial"/>
        <family val="2"/>
      </rPr>
      <t>. Die Referenzobjekte (mindestens 2) finden nur insoweit Berücksichtigung, als die Fertigstellung (Abnahme der Bauleistungen) in obigem Zeitraum erfolgte sowie alle weiteren Mindestkriterien erfüllt sind.
Die Referenzen werden gemäß beiliegendem Bewertungsschema Referenzen ausgewertet und bepunktet. Es werden zu unten aufgelisteter Aufgabenstellungen/Kriterien 0 bis 5 Punkte gemäß Punkteschema vergeben. Es wird ein Mittelwert aus den einzelnen Referenz-Auswertungen gebildet. Das Gesamtpunkte-Ergebnis wird gemäß Bewertungsschema Referenzen - wie in der Zeile Punktevergabe festgelegt - eingestuft und in die Gesamtauswertung der Stufe I übernommen.</t>
    </r>
  </si>
</sst>
</file>

<file path=xl/styles.xml><?xml version="1.0" encoding="utf-8"?>
<styleSheet xmlns="http://schemas.openxmlformats.org/spreadsheetml/2006/main">
  <numFmts count="6">
    <numFmt numFmtId="164" formatCode="_-* #,##0.00\ _€_-;\-* #,##0.00\ _€_-;_-* &quot;-&quot;??\ _€_-;_-@_-"/>
    <numFmt numFmtId="165" formatCode="_-* #,##0.00\ [$€-407]_-;\-* #,##0.00\ [$€-407]_-;_-* &quot;-&quot;??\ [$€-407]_-;_-@_-"/>
    <numFmt numFmtId="166" formatCode="00000"/>
    <numFmt numFmtId="167" formatCode="_-* #,##0.00\ &quot;€&quot;_-;\-* #,##0.00\ &quot;€&quot;_-;_-* &quot;-&quot;??\ &quot;€&quot;_-;_-@_-"/>
    <numFmt numFmtId="168" formatCode="#,##0_ ;\-#,##0\ "/>
    <numFmt numFmtId="169" formatCode="#,##0.00\ &quot;€&quot;;[Red]\-#,##0.00\ &quot;€&quot;"/>
  </numFmts>
  <fonts count="55">
    <font>
      <name val="Arial"/>
      <sz val="10"/>
    </font>
    <font>
      <name val="Arial"/>
      <family val="2"/>
      <sz val="10"/>
    </font>
    <font>
      <name val="Arial"/>
      <family val="2"/>
      <sz val="10"/>
    </font>
    <font>
      <name val="Arial"/>
      <family val="2"/>
      <sz val="10"/>
    </font>
    <font>
      <name val="Arial"/>
      <family val="2"/>
      <sz val="10"/>
    </font>
    <font>
      <name val="Arial"/>
      <family val="2"/>
      <b val="1"/>
      <sz val="12"/>
    </font>
    <font>
      <name val="Arial"/>
      <family val="2"/>
      <b val="1"/>
      <sz val="10"/>
    </font>
    <font>
      <name val="Arial"/>
      <family val="2"/>
      <sz val="10"/>
      <u val="single"/>
    </font>
    <font>
      <name val="Arial"/>
      <family val="2"/>
      <sz val="12"/>
    </font>
    <font>
      <name val="Arial"/>
      <family val="2"/>
      <b val="1"/>
      <sz val="10"/>
      <u val="single"/>
    </font>
    <font>
      <name val="Calibri"/>
      <family val="2"/>
      <sz val="10"/>
    </font>
    <font>
      <name val="Arial"/>
      <family val="2"/>
      <sz val="10"/>
    </font>
    <font>
      <name val="Arial"/>
      <family val="2"/>
      <b val="1"/>
      <sz val="11"/>
    </font>
    <font>
      <name val="Arial"/>
      <family val="2"/>
      <sz val="11"/>
    </font>
    <font>
      <name val="Arial"/>
      <family val="2"/>
      <i val="1"/>
      <sz val="11"/>
    </font>
    <font>
      <name val="Arial"/>
      <family val="2"/>
      <b val="1"/>
      <sz val="14"/>
    </font>
    <font>
      <name val="Arial"/>
      <family val="2"/>
      <sz val="14"/>
    </font>
    <font>
      <name val="Calibri"/>
      <family val="2"/>
      <sz val="10"/>
      <scheme val="minor"/>
    </font>
    <font>
      <name val="Calibri"/>
      <family val="2"/>
      <b val="1"/>
      <sz val="10"/>
      <scheme val="minor"/>
    </font>
    <font>
      <name val="Arial"/>
      <family val="2"/>
      <b val="1"/>
      <color rgb="FFFF0000"/>
      <sz val="10"/>
    </font>
    <font>
      <name val="Arial"/>
      <family val="2"/>
      <color rgb="FFFF0000"/>
      <sz val="10"/>
    </font>
    <font>
      <name val="Arial"/>
      <family val="2"/>
      <color rgb="FF00B050"/>
      <sz val="10"/>
    </font>
    <font>
      <name val="Arial"/>
      <family val="2"/>
      <color rgb="FFC00000"/>
      <sz val="10"/>
    </font>
    <font>
      <name val="Arial"/>
      <family val="2"/>
      <color theme="1"/>
      <sz val="10"/>
    </font>
    <font>
      <name val="Arial"/>
      <family val="2"/>
      <i val="1"/>
      <sz val="9"/>
    </font>
    <font>
      <name val="Arial"/>
      <family val="2"/>
      <sz val="9"/>
    </font>
    <font>
      <name val="Calibri"/>
      <family val="2"/>
      <color rgb="FFC00000"/>
      <sz val="10"/>
      <scheme val="minor"/>
    </font>
    <font>
      <name val="Arial"/>
      <family val="2"/>
      <b val="1"/>
      <color rgb="FF00B0F0"/>
      <sz val="10"/>
    </font>
    <font>
      <name val="Arial"/>
      <family val="2"/>
      <color rgb="FF00B0F0"/>
      <sz val="10"/>
    </font>
    <font>
      <name val="Wingdings"/>
      <charset val="2"/>
      <sz val="26"/>
    </font>
    <font>
      <name val="Wingdings"/>
      <charset val="2"/>
      <sz val="28"/>
    </font>
    <font>
      <name val="Arial"/>
      <family val="2"/>
      <sz val="8"/>
    </font>
    <font>
      <name val="Arial"/>
      <family val="2"/>
      <b val="1"/>
      <sz val="8"/>
    </font>
    <font>
      <name val="Arial"/>
      <family val="2"/>
      <b val="1"/>
      <color theme="3" tint="0.3999755851924192"/>
      <sz val="10"/>
    </font>
    <font>
      <name val="Arial"/>
      <family val="2"/>
      <b val="1"/>
      <color theme="3" tint="0.3999755851924192"/>
      <sz val="10"/>
      <u val="single"/>
    </font>
    <font>
      <name val="Arial"/>
      <family val="2"/>
      <b val="1"/>
      <color rgb="FF00B050"/>
      <sz val="10"/>
    </font>
    <font>
      <name val="Arial"/>
      <family val="2"/>
      <b val="1"/>
      <color rgb="FFFF0000"/>
      <sz val="9"/>
    </font>
    <font>
      <name val="Arial"/>
      <family val="2"/>
      <b val="1"/>
      <color rgb="FFC00000"/>
      <sz val="10"/>
    </font>
    <font>
      <name val="Arial"/>
      <family val="2"/>
      <color theme="0"/>
      <sz val="10"/>
    </font>
    <font>
      <name val="Wingdings"/>
      <charset val="2"/>
      <color theme="0"/>
      <sz val="26"/>
    </font>
    <font>
      <name val="Arial"/>
      <family val="2"/>
      <b val="1"/>
      <color rgb="FFFF0000"/>
      <sz val="8"/>
    </font>
    <font>
      <name val="Arial"/>
      <family val="2"/>
      <color theme="9" tint="-0.499984740745262"/>
      <sz val="10"/>
    </font>
    <font>
      <name val="Arial"/>
      <family val="2"/>
      <b val="1"/>
      <color theme="9" tint="-0.499984740745262"/>
      <sz val="10"/>
    </font>
    <font>
      <name val="Calibri"/>
      <family val="2"/>
      <b val="1"/>
      <sz val="10"/>
    </font>
    <font>
      <name val="Arial"/>
      <family val="2"/>
      <b val="1"/>
      <color theme="5" tint="-0.249977111117893"/>
      <sz val="8"/>
    </font>
    <font>
      <name val="Calibri"/>
      <family val="2"/>
      <color rgb="FF00B0F0"/>
      <sz val="10"/>
      <scheme val="minor"/>
    </font>
    <font>
      <name val="Segoe UI"/>
      <family val="2"/>
      <color rgb="FF000000"/>
      <sz val="8"/>
    </font>
    <font>
      <name val="Times New Roman"/>
      <family val="1"/>
      <sz val="11"/>
    </font>
    <font>
      <name val="Times New Roman"/>
      <family val="1"/>
      <sz val="7"/>
    </font>
    <font>
      <name val="Arial"/>
      <family val="2"/>
      <sz val="7"/>
    </font>
    <font>
      <name val="Arial"/>
      <family val="2"/>
      <b val="1"/>
      <i val="1"/>
      <sz val="10"/>
    </font>
    <font>
      <name val="Wingdings"/>
      <charset val="2"/>
      <color theme="1"/>
      <sz val="28"/>
    </font>
    <font>
      <name val="Arial"/>
      <family val="2"/>
      <b val="1"/>
      <color theme="1"/>
      <sz val="8"/>
    </font>
    <font>
      <name val="Aptos Narrow"/>
      <family val="2"/>
      <sz val="10"/>
    </font>
    <font>
      <name val="Arial"/>
      <family val="2"/>
      <b val="1"/>
      <color theme="1"/>
      <sz val="10"/>
    </font>
  </fonts>
  <fills count="18">
    <fill>
      <patternFill/>
    </fill>
    <fill>
      <patternFill patternType="gray125"/>
    </fill>
    <fill>
      <patternFill patternType="solid">
        <fgColor theme="0" tint="-0.1499984740745262"/>
        <bgColor indexed="64"/>
      </patternFill>
    </fill>
    <fill>
      <patternFill patternType="solid">
        <fgColor rgb="FFFFFF00"/>
        <bgColor indexed="64"/>
      </patternFill>
    </fill>
    <fill>
      <patternFill patternType="solid">
        <fgColor theme="0" tint="-0.0499893185216834"/>
        <bgColor indexed="64"/>
      </patternFill>
    </fill>
    <fill>
      <patternFill patternType="solid">
        <fgColor theme="8" tint="0.5999938962981048"/>
        <bgColor indexed="64"/>
      </patternFill>
    </fill>
    <fill>
      <patternFill patternType="solid">
        <fgColor theme="8" tint="-0.249977111117893"/>
        <bgColor indexed="8"/>
      </patternFill>
    </fill>
    <fill>
      <patternFill patternType="solid">
        <fgColor theme="8" tint="-0.249977111117893"/>
        <bgColor indexed="64"/>
      </patternFill>
    </fill>
    <fill>
      <patternFill patternType="solid">
        <fgColor theme="0"/>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3" tint="0.7999816888943144"/>
        <bgColor indexed="64"/>
      </patternFill>
    </fill>
    <fill>
      <patternFill patternType="solid">
        <fgColor theme="0" tint="-0.249977111117893"/>
        <bgColor indexed="64"/>
      </patternFill>
    </fill>
    <fill>
      <patternFill patternType="solid">
        <fgColor theme="9" tint="0.5999938962981048"/>
        <bgColor indexed="64"/>
      </patternFill>
    </fill>
    <fill>
      <patternFill patternType="solid">
        <fgColor theme="9" tint="0.3999755851924192"/>
        <bgColor indexed="64"/>
      </patternFill>
    </fill>
    <fill>
      <patternFill patternType="solid">
        <fgColor theme="7" tint="0.7999816888943144"/>
        <bgColor indexed="64"/>
      </patternFill>
    </fill>
  </fills>
  <borders count="22">
    <border>
      <left/>
      <right/>
      <top/>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bottom style="dotted">
        <color indexed="64"/>
      </bottom>
      <diagonal/>
    </border>
    <border>
      <left/>
      <right/>
      <top style="dotted">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dotted">
        <color indexed="64"/>
      </top>
      <bottom/>
      <diagonal/>
    </border>
  </borders>
  <cellStyleXfs count="40">
    <xf numFmtId="0" fontId="0"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164" fontId="11" fillId="0" borderId="0"/>
    <xf numFmtId="164" fontId="11" fillId="0" borderId="0"/>
    <xf numFmtId="164" fontId="11" fillId="0" borderId="0"/>
    <xf numFmtId="164" fontId="11" fillId="0" borderId="0"/>
    <xf numFmtId="164" fontId="11" fillId="0" borderId="0"/>
    <xf numFmtId="0" fontId="11" fillId="0" borderId="0"/>
    <xf numFmtId="0"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44" fontId="11" fillId="0" borderId="0"/>
    <xf numFmtId="164" fontId="11" fillId="0" borderId="0"/>
    <xf numFmtId="164" fontId="11" fillId="0" borderId="0"/>
    <xf numFmtId="164" fontId="11" fillId="0" borderId="0"/>
    <xf numFmtId="164" fontId="11" fillId="0" borderId="0"/>
    <xf numFmtId="164" fontId="11" fillId="0" borderId="0"/>
    <xf numFmtId="0" fontId="11" fillId="0" borderId="0"/>
  </cellStyleXfs>
  <cellXfs count="620">
    <xf numFmtId="0" fontId="0" fillId="0" borderId="0" pivotButton="0" quotePrefix="0" xfId="0"/>
    <xf numFmtId="0" fontId="2" fillId="0" borderId="2" pivotButton="0" quotePrefix="0" xfId="0"/>
    <xf numFmtId="0" fontId="2" fillId="0" borderId="0" pivotButton="0" quotePrefix="0" xfId="0"/>
    <xf numFmtId="0" fontId="6" fillId="0" borderId="0" pivotButton="0" quotePrefix="0" xfId="0"/>
    <xf numFmtId="0" fontId="2" fillId="0" borderId="3" pivotButton="0" quotePrefix="0" xfId="0"/>
    <xf numFmtId="0" fontId="6" fillId="0" borderId="0" applyAlignment="1" pivotButton="0" quotePrefix="0" xfId="0">
      <alignment horizontal="center"/>
    </xf>
    <xf numFmtId="0" fontId="2" fillId="0" borderId="3" applyAlignment="1" pivotButton="0" quotePrefix="0" xfId="0">
      <alignment horizontal="left" wrapText="1"/>
    </xf>
    <xf numFmtId="0" fontId="2" fillId="0" borderId="0" applyAlignment="1" pivotButton="0" quotePrefix="0" xfId="0">
      <alignment horizontal="left" wrapText="1"/>
    </xf>
    <xf numFmtId="0" fontId="0" fillId="0" borderId="6" pivotButton="0" quotePrefix="0" xfId="0"/>
    <xf numFmtId="0" fontId="0" fillId="0" borderId="1" pivotButton="0" quotePrefix="0" xfId="0"/>
    <xf numFmtId="0" fontId="0" fillId="0" borderId="7"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2" pivotButton="0" quotePrefix="0" xfId="0"/>
    <xf numFmtId="0" fontId="0" fillId="0" borderId="8" pivotButton="0" quotePrefix="0" xfId="0"/>
    <xf numFmtId="0" fontId="2" fillId="0" borderId="4" pivotButton="0" quotePrefix="0" xfId="0"/>
    <xf numFmtId="0" fontId="6" fillId="0" borderId="0" applyAlignment="1" pivotButton="0" quotePrefix="0" xfId="0">
      <alignment horizontal="right"/>
    </xf>
    <xf numFmtId="0" fontId="0" fillId="0" borderId="9" pivotButton="0" quotePrefix="0" xfId="0"/>
    <xf numFmtId="0" fontId="0" fillId="0" borderId="10" pivotButton="0" quotePrefix="0" xfId="0"/>
    <xf numFmtId="0" fontId="0" fillId="0" borderId="11" pivotButton="0" quotePrefix="0" xfId="0"/>
    <xf numFmtId="0" fontId="2" fillId="0" borderId="4" applyAlignment="1" pivotButton="0" quotePrefix="0" xfId="0">
      <alignment horizontal="left" vertical="top"/>
    </xf>
    <xf numFmtId="0" fontId="2" fillId="0" borderId="3" applyAlignment="1" pivotButton="0" quotePrefix="0" xfId="0">
      <alignment horizontal="left"/>
    </xf>
    <xf numFmtId="0" fontId="0" fillId="0" borderId="10" applyAlignment="1" pivotButton="0" quotePrefix="0" xfId="0">
      <alignment horizontal="center" vertical="center"/>
    </xf>
    <xf numFmtId="0" fontId="0" fillId="0" borderId="3" applyAlignment="1" pivotButton="0" quotePrefix="0" xfId="0">
      <alignment horizontal="center" vertical="center"/>
    </xf>
    <xf numFmtId="0" fontId="6" fillId="2" borderId="12" applyAlignment="1" pivotButton="0" quotePrefix="0" xfId="0">
      <alignment horizontal="center" vertical="center"/>
    </xf>
    <xf numFmtId="0" fontId="19" fillId="0" borderId="10" applyAlignment="1" pivotButton="0" quotePrefix="0" xfId="0">
      <alignment vertical="center"/>
    </xf>
    <xf numFmtId="0" fontId="2" fillId="0" borderId="2" applyAlignment="1" pivotButton="0" quotePrefix="0" xfId="0">
      <alignment wrapText="1"/>
    </xf>
    <xf numFmtId="164" fontId="6" fillId="0" borderId="0" applyAlignment="1" pivotButton="0" quotePrefix="0" xfId="0">
      <alignment horizontal="left"/>
    </xf>
    <xf numFmtId="0" fontId="2" fillId="0" borderId="10" applyAlignment="1" applyProtection="1" pivotButton="0" quotePrefix="0" xfId="0">
      <alignment horizontal="left" vertical="top" wrapText="1"/>
      <protection locked="0" hidden="0"/>
    </xf>
    <xf numFmtId="0" fontId="2" fillId="0" borderId="9" applyAlignment="1" applyProtection="1" pivotButton="0" quotePrefix="0" xfId="0">
      <alignment horizontal="left" vertical="top" wrapText="1"/>
      <protection locked="0" hidden="0"/>
    </xf>
    <xf numFmtId="0" fontId="2" fillId="0" borderId="11" applyAlignment="1" applyProtection="1" pivotButton="0" quotePrefix="0" xfId="0">
      <alignment horizontal="left" vertical="top" wrapText="1"/>
      <protection locked="0" hidden="0"/>
    </xf>
    <xf numFmtId="165" fontId="2" fillId="3" borderId="11" applyAlignment="1" applyProtection="1" pivotButton="0" quotePrefix="0" xfId="0">
      <alignment horizontal="left" vertical="top" wrapText="1"/>
      <protection locked="0" hidden="0"/>
    </xf>
    <xf numFmtId="0" fontId="2" fillId="0" borderId="3" applyAlignment="1" applyProtection="1" pivotButton="0" quotePrefix="0" xfId="0">
      <alignment horizontal="left" vertical="top" wrapText="1"/>
      <protection locked="0" hidden="0"/>
    </xf>
    <xf numFmtId="0" fontId="2" fillId="0" borderId="0" applyAlignment="1" applyProtection="1" pivotButton="0" quotePrefix="0" xfId="0">
      <alignment wrapText="1"/>
      <protection locked="0" hidden="0"/>
    </xf>
    <xf numFmtId="0" fontId="6" fillId="0" borderId="10" applyAlignment="1" applyProtection="1" pivotButton="0" quotePrefix="0" xfId="0">
      <alignment horizontal="center" vertical="top" wrapText="1"/>
      <protection locked="0" hidden="0"/>
    </xf>
    <xf numFmtId="0" fontId="6" fillId="0" borderId="9" applyAlignment="1" applyProtection="1" pivotButton="0" quotePrefix="0" xfId="0">
      <alignment horizontal="left" vertical="top" wrapText="1"/>
      <protection locked="0" hidden="0"/>
    </xf>
    <xf numFmtId="166" fontId="6" fillId="3" borderId="11" applyAlignment="1" applyProtection="1" pivotButton="0" quotePrefix="0" xfId="0">
      <alignment horizontal="left" vertical="top" wrapText="1"/>
      <protection locked="0" hidden="0"/>
    </xf>
    <xf numFmtId="49" fontId="6" fillId="3" borderId="11" applyAlignment="1" applyProtection="1" pivotButton="0" quotePrefix="0" xfId="0">
      <alignment horizontal="left" vertical="top" wrapText="1"/>
      <protection locked="0" hidden="0"/>
    </xf>
    <xf numFmtId="0" fontId="2" fillId="0" borderId="0" applyAlignment="1" applyProtection="1" pivotButton="0" quotePrefix="0" xfId="0">
      <alignment horizontal="left" vertical="top" wrapText="1"/>
      <protection locked="0" hidden="0"/>
    </xf>
    <xf numFmtId="0" fontId="0" fillId="0" borderId="12" pivotButton="0" quotePrefix="0" xfId="0"/>
    <xf numFmtId="0" fontId="13" fillId="0" borderId="0" pivotButton="0" quotePrefix="0" xfId="0"/>
    <xf numFmtId="0" fontId="6" fillId="0" borderId="0" applyAlignment="1" pivotButton="0" quotePrefix="0" xfId="0">
      <alignment vertical="center" wrapText="1"/>
    </xf>
    <xf numFmtId="0" fontId="16" fillId="0" borderId="0" pivotButton="0" quotePrefix="0" xfId="0"/>
    <xf numFmtId="0" fontId="6" fillId="0" borderId="0" applyAlignment="1" applyProtection="1" pivotButton="0" quotePrefix="0" xfId="0">
      <alignment vertical="top" wrapText="1"/>
      <protection locked="0" hidden="0"/>
    </xf>
    <xf numFmtId="164" fontId="6" fillId="0" borderId="0" applyAlignment="1" applyProtection="1" pivotButton="0" quotePrefix="0" xfId="15">
      <alignment vertical="top" wrapText="1"/>
      <protection locked="0" hidden="0"/>
    </xf>
    <xf numFmtId="167" fontId="2" fillId="3" borderId="11" applyAlignment="1" applyProtection="1" pivotButton="0" quotePrefix="0" xfId="3">
      <alignment horizontal="left" vertical="top" wrapText="1"/>
      <protection locked="0" hidden="0"/>
    </xf>
    <xf numFmtId="0" fontId="12" fillId="0" borderId="12" applyAlignment="1" pivotButton="0" quotePrefix="0" xfId="0">
      <alignment horizontal="center" vertical="center" wrapText="1"/>
    </xf>
    <xf numFmtId="0" fontId="6" fillId="0" borderId="9" applyAlignment="1" pivotButton="0" quotePrefix="0" xfId="0">
      <alignment horizontal="center" vertical="center"/>
    </xf>
    <xf numFmtId="0" fontId="15" fillId="0" borderId="0" applyAlignment="1" pivotButton="0" quotePrefix="0" xfId="0">
      <alignment vertical="center" wrapText="1"/>
    </xf>
    <xf numFmtId="0" fontId="13" fillId="0" borderId="12" pivotButton="0" quotePrefix="0" xfId="0"/>
    <xf numFmtId="0" fontId="0" fillId="0" borderId="12" applyAlignment="1" pivotButton="0" quotePrefix="0" xfId="0">
      <alignment horizontal="center" vertical="center"/>
    </xf>
    <xf numFmtId="0" fontId="6" fillId="0" borderId="12" applyAlignment="1" pivotButton="0" quotePrefix="0" xfId="0">
      <alignment horizontal="center" vertical="center"/>
    </xf>
    <xf numFmtId="0" fontId="6" fillId="3" borderId="11" applyAlignment="1" applyProtection="1" pivotButton="0" quotePrefix="0" xfId="0">
      <alignment horizontal="left" vertical="top" wrapText="1"/>
      <protection locked="0" hidden="0"/>
    </xf>
    <xf numFmtId="0" fontId="2" fillId="0" borderId="4" applyAlignment="1" pivotButton="0" quotePrefix="0" xfId="0">
      <alignment vertical="top"/>
    </xf>
    <xf numFmtId="0" fontId="2" fillId="0" borderId="10" pivotButton="0" quotePrefix="0" xfId="0"/>
    <xf numFmtId="49" fontId="2" fillId="0" borderId="0" applyAlignment="1" pivotButton="0" quotePrefix="0" xfId="0">
      <alignment horizontal="left"/>
    </xf>
    <xf numFmtId="0" fontId="2" fillId="0" borderId="10" applyAlignment="1" pivotButton="0" quotePrefix="0" xfId="0">
      <alignment horizontal="center" vertical="center"/>
    </xf>
    <xf numFmtId="0" fontId="15" fillId="0" borderId="12" applyAlignment="1" pivotButton="0" quotePrefix="0" xfId="0">
      <alignment horizontal="left" vertical="center"/>
    </xf>
    <xf numFmtId="0" fontId="2" fillId="0" borderId="4" applyAlignment="1" pivotButton="0" quotePrefix="0" xfId="0">
      <alignment horizontal="center" vertical="center"/>
    </xf>
    <xf numFmtId="0" fontId="2" fillId="0" borderId="3" applyAlignment="1" pivotButton="0" quotePrefix="0" xfId="0">
      <alignment horizontal="center" vertical="center"/>
    </xf>
    <xf numFmtId="0" fontId="19" fillId="0" borderId="3" applyAlignment="1" pivotButton="0" quotePrefix="0" xfId="0">
      <alignment vertical="center"/>
    </xf>
    <xf numFmtId="0" fontId="1" fillId="0" borderId="0" pivotButton="0" quotePrefix="0" xfId="0"/>
    <xf numFmtId="0" fontId="1" fillId="0" borderId="0" applyAlignment="1" pivotButton="0" quotePrefix="0" xfId="0">
      <alignment horizontal="center"/>
    </xf>
    <xf numFmtId="0" fontId="1" fillId="3" borderId="11" applyAlignment="1" applyProtection="1" pivotButton="0" quotePrefix="0" xfId="0">
      <alignment horizontal="left" vertical="top" wrapText="1"/>
      <protection locked="0" hidden="0"/>
    </xf>
    <xf numFmtId="0" fontId="1" fillId="0" borderId="10" applyAlignment="1" applyProtection="1" pivotButton="0" quotePrefix="0" xfId="0">
      <alignment horizontal="left" vertical="top" wrapText="1"/>
      <protection locked="0" hidden="0"/>
    </xf>
    <xf numFmtId="0" fontId="0" fillId="0" borderId="0" applyAlignment="1" pivotButton="0" quotePrefix="0" xfId="0">
      <alignment horizontal="center"/>
    </xf>
    <xf numFmtId="0" fontId="1" fillId="0" borderId="3" pivotButton="0" quotePrefix="0" xfId="0"/>
    <xf numFmtId="0" fontId="23" fillId="0" borderId="0" pivotButton="0" quotePrefix="0" xfId="0"/>
    <xf numFmtId="0" fontId="21" fillId="0" borderId="3" pivotButton="0" quotePrefix="0" xfId="0"/>
    <xf numFmtId="0" fontId="6" fillId="0" borderId="12" applyAlignment="1" pivotButton="0" quotePrefix="0" xfId="0">
      <alignment vertical="center" wrapText="1"/>
    </xf>
    <xf numFmtId="0" fontId="6" fillId="7" borderId="15" applyAlignment="1" pivotButton="0" quotePrefix="0" xfId="0">
      <alignment horizontal="left" vertical="center"/>
    </xf>
    <xf numFmtId="0" fontId="12" fillId="0" borderId="10" applyAlignment="1" pivotButton="0" quotePrefix="0" xfId="0">
      <alignment horizontal="center" vertical="center" wrapText="1"/>
    </xf>
    <xf numFmtId="0" fontId="12" fillId="0" borderId="12" applyAlignment="1" pivotButton="0" quotePrefix="0" xfId="0">
      <alignment horizontal="center" vertical="center"/>
    </xf>
    <xf numFmtId="0" fontId="12" fillId="0" borderId="9" applyAlignment="1" pivotButton="0" quotePrefix="0" xfId="0">
      <alignment horizontal="center" vertical="center" wrapText="1"/>
    </xf>
    <xf numFmtId="0" fontId="1" fillId="0" borderId="6" applyAlignment="1" pivotButton="0" quotePrefix="0" xfId="0">
      <alignment horizontal="left" vertical="top"/>
    </xf>
    <xf numFmtId="0" fontId="1" fillId="0" borderId="7" applyAlignment="1" pivotButton="0" quotePrefix="0" xfId="0">
      <alignment horizontal="left" vertical="center" wrapText="1"/>
    </xf>
    <xf numFmtId="0" fontId="6" fillId="0" borderId="16" applyAlignment="1" pivotButton="0" quotePrefix="0" xfId="0">
      <alignment horizontal="center" vertical="center" wrapText="1"/>
    </xf>
    <xf numFmtId="0" fontId="1" fillId="0" borderId="15" applyAlignment="1" pivotButton="0" quotePrefix="0" xfId="0">
      <alignment horizontal="left" vertical="top"/>
    </xf>
    <xf numFmtId="0" fontId="12" fillId="0" borderId="16" applyAlignment="1" pivotButton="0" quotePrefix="0" xfId="0">
      <alignment horizontal="center" vertical="center" wrapText="1"/>
    </xf>
    <xf numFmtId="16" fontId="1" fillId="0" borderId="16" applyAlignment="1" pivotButton="0" quotePrefix="0" xfId="0">
      <alignment horizontal="left" vertical="top" wrapText="1"/>
    </xf>
    <xf numFmtId="49" fontId="1" fillId="0" borderId="16" applyAlignment="1" pivotButton="0" quotePrefix="0" xfId="0">
      <alignment horizontal="left" vertical="top" wrapText="1"/>
    </xf>
    <xf numFmtId="0" fontId="6" fillId="0" borderId="8" applyAlignment="1" pivotButton="0" quotePrefix="0" xfId="0">
      <alignment horizontal="center" vertical="center" wrapText="1"/>
    </xf>
    <xf numFmtId="0" fontId="1" fillId="4" borderId="12" applyAlignment="1" pivotButton="0" quotePrefix="0" xfId="0">
      <alignment horizontal="left" vertical="top"/>
    </xf>
    <xf numFmtId="0" fontId="6" fillId="0" borderId="16" applyAlignment="1" pivotButton="0" quotePrefix="0" xfId="0">
      <alignment vertical="center" wrapText="1"/>
    </xf>
    <xf numFmtId="0" fontId="1" fillId="0" borderId="4" applyAlignment="1" pivotButton="0" quotePrefix="0" xfId="0">
      <alignment horizontal="left" vertical="top"/>
    </xf>
    <xf numFmtId="0" fontId="1" fillId="0" borderId="4" pivotButton="0" quotePrefix="0" xfId="0"/>
    <xf numFmtId="0" fontId="1" fillId="0" borderId="16" applyAlignment="1" pivotButton="0" quotePrefix="0" xfId="0">
      <alignment horizontal="left" vertical="center" wrapText="1"/>
    </xf>
    <xf numFmtId="0" fontId="1" fillId="0" borderId="11" applyAlignment="1" applyProtection="1" pivotButton="0" quotePrefix="0" xfId="0">
      <alignment horizontal="left" vertical="top" wrapText="1"/>
      <protection locked="0" hidden="0"/>
    </xf>
    <xf numFmtId="0" fontId="1" fillId="8" borderId="9" applyAlignment="1" applyProtection="1" pivotButton="0" quotePrefix="0" xfId="0">
      <alignment horizontal="left" vertical="top" wrapText="1"/>
      <protection locked="0" hidden="0"/>
    </xf>
    <xf numFmtId="0" fontId="1" fillId="8" borderId="10" applyAlignment="1" applyProtection="1" pivotButton="0" quotePrefix="0" xfId="0">
      <alignment horizontal="left" vertical="top" wrapText="1"/>
      <protection locked="0" hidden="0"/>
    </xf>
    <xf numFmtId="0" fontId="0" fillId="0" borderId="0" applyAlignment="1" pivotButton="0" quotePrefix="0" xfId="0">
      <alignment horizontal="center" vertical="center"/>
    </xf>
    <xf numFmtId="0" fontId="19" fillId="0" borderId="4" applyAlignment="1" pivotButton="0" quotePrefix="0" xfId="0">
      <alignment horizontal="center" vertical="top"/>
    </xf>
    <xf numFmtId="0" fontId="19" fillId="0" borderId="0" applyAlignment="1" pivotButton="0" quotePrefix="0" xfId="0">
      <alignment horizontal="center" vertical="top"/>
    </xf>
    <xf numFmtId="0" fontId="19" fillId="0" borderId="3" applyAlignment="1" pivotButton="0" quotePrefix="0" xfId="0">
      <alignment horizontal="center" vertical="top"/>
    </xf>
    <xf numFmtId="0" fontId="1" fillId="0" borderId="0" applyAlignment="1" pivotButton="0" quotePrefix="0" xfId="0">
      <alignment horizontal="left" vertical="top" wrapText="1"/>
    </xf>
    <xf numFmtId="0" fontId="2" fillId="4" borderId="11" applyAlignment="1" applyProtection="1" pivotButton="0" quotePrefix="0" xfId="0">
      <alignment horizontal="left" vertical="top" wrapText="1"/>
      <protection locked="0" hidden="0"/>
    </xf>
    <xf numFmtId="0" fontId="2" fillId="3" borderId="11" applyAlignment="1" applyProtection="1" pivotButton="0" quotePrefix="0" xfId="0">
      <alignment horizontal="left" vertical="top" wrapText="1"/>
      <protection locked="0" hidden="0"/>
    </xf>
    <xf numFmtId="0" fontId="2" fillId="8" borderId="11" applyAlignment="1" applyProtection="1" pivotButton="0" quotePrefix="0" xfId="0">
      <alignment horizontal="left" vertical="top" wrapText="1"/>
      <protection locked="0" hidden="0"/>
    </xf>
    <xf numFmtId="0" fontId="1" fillId="0" borderId="0" pivotButton="0" quotePrefix="0" xfId="20"/>
    <xf numFmtId="0" fontId="29" fillId="9" borderId="12" applyAlignment="1" pivotButton="0" quotePrefix="0" xfId="20">
      <alignment horizontal="center" vertical="center"/>
    </xf>
    <xf numFmtId="0" fontId="6" fillId="2" borderId="12" applyAlignment="1" pivotButton="0" quotePrefix="0" xfId="20">
      <alignment horizontal="center" vertical="center"/>
    </xf>
    <xf numFmtId="0" fontId="1" fillId="4" borderId="12" applyAlignment="1" pivotButton="0" quotePrefix="0" xfId="20">
      <alignment horizontal="center" vertical="center"/>
    </xf>
    <xf numFmtId="0" fontId="30" fillId="10" borderId="12" applyAlignment="1" pivotButton="0" quotePrefix="0" xfId="20">
      <alignment horizontal="center" vertical="center" wrapText="1"/>
    </xf>
    <xf numFmtId="0" fontId="1" fillId="0" borderId="0" applyAlignment="1" pivotButton="0" quotePrefix="0" xfId="0">
      <alignment wrapText="1"/>
    </xf>
    <xf numFmtId="0" fontId="6" fillId="0" borderId="10" applyAlignment="1" applyProtection="1" pivotButton="0" quotePrefix="0" xfId="0">
      <alignment horizontal="left" vertical="top" wrapText="1"/>
      <protection locked="0" hidden="0"/>
    </xf>
    <xf numFmtId="0" fontId="1" fillId="0" borderId="0" applyAlignment="1" applyProtection="1" pivotButton="0" quotePrefix="0" xfId="0">
      <alignment wrapText="1"/>
      <protection locked="0" hidden="0"/>
    </xf>
    <xf numFmtId="0" fontId="1" fillId="0" borderId="9" applyAlignment="1" applyProtection="1" pivotButton="0" quotePrefix="0" xfId="0">
      <alignment horizontal="left" vertical="top" wrapText="1"/>
      <protection locked="0" hidden="0"/>
    </xf>
    <xf numFmtId="0" fontId="1" fillId="0" borderId="10" applyAlignment="1" applyProtection="1" pivotButton="0" quotePrefix="0" xfId="0">
      <alignment vertical="top" wrapText="1"/>
      <protection locked="0" hidden="0"/>
    </xf>
    <xf numFmtId="49" fontId="1" fillId="0" borderId="0" applyAlignment="1" pivotButton="0" quotePrefix="0" xfId="0">
      <alignment horizontal="left"/>
    </xf>
    <xf numFmtId="0" fontId="1" fillId="0" borderId="3" applyAlignment="1" pivotButton="0" quotePrefix="0" xfId="0">
      <alignment horizontal="left"/>
    </xf>
    <xf numFmtId="0" fontId="1" fillId="0" borderId="4" applyAlignment="1" pivotButton="0" quotePrefix="0" xfId="0">
      <alignment vertical="top"/>
    </xf>
    <xf numFmtId="0" fontId="6" fillId="0" borderId="5" pivotButton="0" quotePrefix="0" xfId="0"/>
    <xf numFmtId="0" fontId="6" fillId="0" borderId="17" applyAlignment="1" pivotButton="0" quotePrefix="0" xfId="0">
      <alignment vertical="center"/>
    </xf>
    <xf numFmtId="0" fontId="6" fillId="0" borderId="20" applyAlignment="1" pivotButton="0" quotePrefix="0" xfId="0">
      <alignment horizontal="center" vertical="center"/>
    </xf>
    <xf numFmtId="0" fontId="6" fillId="13" borderId="13" applyAlignment="1" pivotButton="0" quotePrefix="0" xfId="0">
      <alignment horizontal="center" vertical="center"/>
    </xf>
    <xf numFmtId="0" fontId="12" fillId="0" borderId="0" applyAlignment="1" pivotButton="0" quotePrefix="0" xfId="0">
      <alignment vertical="center" wrapText="1"/>
    </xf>
    <xf numFmtId="0" fontId="20" fillId="0" borderId="0" pivotButton="0" quotePrefix="0" xfId="0"/>
    <xf numFmtId="0" fontId="1" fillId="0" borderId="0" applyAlignment="1" pivotButton="0" quotePrefix="0" xfId="20">
      <alignment wrapText="1"/>
    </xf>
    <xf numFmtId="0" fontId="12" fillId="0" borderId="11" applyAlignment="1" pivotButton="0" quotePrefix="0" xfId="0">
      <alignment horizontal="center" vertical="center" wrapText="1"/>
    </xf>
    <xf numFmtId="0" fontId="13" fillId="0" borderId="11" pivotButton="0" quotePrefix="0" xfId="0"/>
    <xf numFmtId="0" fontId="12" fillId="7" borderId="15" applyAlignment="1" pivotButton="0" quotePrefix="0" xfId="0">
      <alignment vertical="center" wrapText="1"/>
    </xf>
    <xf numFmtId="0" fontId="1" fillId="0" borderId="12" applyAlignment="1" pivotButton="0" quotePrefix="0" xfId="0">
      <alignment horizontal="center" vertical="center"/>
    </xf>
    <xf numFmtId="49" fontId="1" fillId="0" borderId="0" applyAlignment="1" pivotButton="0" quotePrefix="0" xfId="0">
      <alignment horizontal="left" wrapText="1"/>
    </xf>
    <xf numFmtId="0" fontId="6" fillId="0" borderId="12" applyAlignment="1" pivotButton="0" quotePrefix="0" xfId="0">
      <alignment horizontal="center" vertical="center" wrapText="1"/>
    </xf>
    <xf numFmtId="0" fontId="12" fillId="6" borderId="14" applyAlignment="1" pivotButton="0" quotePrefix="0" xfId="0">
      <alignment horizontal="left" vertical="center" wrapText="1"/>
    </xf>
    <xf numFmtId="0" fontId="12" fillId="6" borderId="16" applyAlignment="1" pivotButton="0" quotePrefix="0" xfId="0">
      <alignment horizontal="left" vertical="center" wrapText="1"/>
    </xf>
    <xf numFmtId="0" fontId="6" fillId="0" borderId="9" applyAlignment="1" pivotButton="0" quotePrefix="0" xfId="0">
      <alignment horizontal="center" vertical="center" wrapText="1"/>
    </xf>
    <xf numFmtId="0" fontId="12" fillId="6" borderId="6" applyAlignment="1" pivotButton="0" quotePrefix="0" xfId="0">
      <alignment vertical="center" wrapText="1"/>
    </xf>
    <xf numFmtId="0" fontId="12" fillId="6" borderId="15" applyAlignment="1" pivotButton="0" quotePrefix="0" xfId="0">
      <alignment vertical="center" wrapText="1"/>
    </xf>
    <xf numFmtId="0" fontId="31" fillId="12" borderId="12" applyAlignment="1" pivotButton="0" quotePrefix="0" xfId="20">
      <alignment vertical="center" wrapText="1"/>
    </xf>
    <xf numFmtId="0" fontId="1" fillId="16" borderId="16" applyAlignment="1" pivotButton="0" quotePrefix="0" xfId="20">
      <alignment vertical="center" wrapText="1"/>
    </xf>
    <xf numFmtId="0" fontId="1" fillId="17" borderId="12" applyAlignment="1" pivotButton="0" quotePrefix="0" xfId="20">
      <alignment horizontal="left" vertical="center" wrapText="1"/>
    </xf>
    <xf numFmtId="0" fontId="1" fillId="16" borderId="12" applyAlignment="1" pivotButton="0" quotePrefix="0" xfId="20">
      <alignment horizontal="center" vertical="center" wrapText="1"/>
    </xf>
    <xf numFmtId="0" fontId="1" fillId="16" borderId="12" applyAlignment="1" pivotButton="0" quotePrefix="0" xfId="20">
      <alignment horizontal="left" vertical="center" wrapText="1"/>
    </xf>
    <xf numFmtId="0" fontId="1" fillId="17" borderId="12" applyAlignment="1" pivotButton="0" quotePrefix="0" xfId="0">
      <alignment horizontal="center" vertical="center" wrapText="1"/>
    </xf>
    <xf numFmtId="0" fontId="31" fillId="2" borderId="16" applyAlignment="1" pivotButton="0" quotePrefix="0" xfId="20">
      <alignment horizontal="center" vertical="center" wrapText="1"/>
    </xf>
    <xf numFmtId="0" fontId="31" fillId="12" borderId="16" applyAlignment="1" pivotButton="0" quotePrefix="0" xfId="20">
      <alignment horizontal="center" vertical="center" wrapText="1"/>
    </xf>
    <xf numFmtId="0" fontId="1" fillId="17" borderId="11" applyAlignment="1" pivotButton="0" quotePrefix="0" xfId="20">
      <alignment vertical="center" wrapText="1"/>
    </xf>
    <xf numFmtId="0" fontId="32" fillId="9" borderId="12" applyAlignment="1" pivotButton="0" quotePrefix="0" xfId="20">
      <alignment horizontal="center" vertical="center" wrapText="1"/>
    </xf>
    <xf numFmtId="0" fontId="1" fillId="0" borderId="0" applyAlignment="1" pivotButton="0" quotePrefix="0" xfId="0">
      <alignment horizontal="left" wrapText="1"/>
    </xf>
    <xf numFmtId="0" fontId="6" fillId="0" borderId="0" pivotButton="0" quotePrefix="0" xfId="20"/>
    <xf numFmtId="0" fontId="1" fillId="3" borderId="10" applyAlignment="1" applyProtection="1" pivotButton="0" quotePrefix="0" xfId="0">
      <alignment horizontal="left" vertical="top" wrapText="1"/>
      <protection locked="0" hidden="0"/>
    </xf>
    <xf numFmtId="49" fontId="6" fillId="11" borderId="12" applyAlignment="1" pivotButton="0" quotePrefix="0" xfId="20">
      <alignment horizontal="center" vertical="center" wrapText="1"/>
    </xf>
    <xf numFmtId="0" fontId="29" fillId="9" borderId="12" applyAlignment="1" pivotButton="0" quotePrefix="0" xfId="20">
      <alignment horizontal="center" vertical="center" wrapText="1"/>
    </xf>
    <xf numFmtId="0" fontId="32" fillId="11" borderId="12" applyAlignment="1" pivotButton="0" quotePrefix="0" xfId="20">
      <alignment horizontal="center" vertical="center" wrapText="1"/>
    </xf>
    <xf numFmtId="0" fontId="23" fillId="0" borderId="0" applyAlignment="1" pivotButton="0" quotePrefix="0" xfId="0">
      <alignment vertical="top"/>
    </xf>
    <xf numFmtId="0" fontId="19" fillId="0" borderId="0" applyAlignment="1" pivotButton="0" quotePrefix="0" xfId="0">
      <alignment horizontal="center" vertical="center"/>
    </xf>
    <xf numFmtId="0" fontId="19" fillId="0" borderId="3" applyAlignment="1" pivotButton="0" quotePrefix="0" xfId="0">
      <alignment horizontal="center" vertical="center"/>
    </xf>
    <xf numFmtId="0" fontId="0" fillId="0" borderId="0" applyAlignment="1" pivotButton="0" quotePrefix="0" xfId="0">
      <alignment horizontal="left"/>
    </xf>
    <xf numFmtId="0" fontId="28" fillId="4" borderId="11" applyAlignment="1" applyProtection="1" pivotButton="0" quotePrefix="0" xfId="0">
      <alignment horizontal="left" vertical="top" wrapText="1"/>
      <protection locked="0" hidden="0"/>
    </xf>
    <xf numFmtId="0" fontId="28" fillId="0" borderId="10" applyAlignment="1" applyProtection="1" pivotButton="0" quotePrefix="0" xfId="0">
      <alignment horizontal="left" vertical="top" wrapText="1"/>
      <protection locked="0" hidden="0"/>
    </xf>
    <xf numFmtId="0" fontId="28" fillId="0" borderId="4" pivotButton="0" quotePrefix="0" xfId="0"/>
    <xf numFmtId="16" fontId="1" fillId="0" borderId="0" applyAlignment="1" pivotButton="0" quotePrefix="0" xfId="0">
      <alignment horizontal="left"/>
    </xf>
    <xf numFmtId="0" fontId="6" fillId="4" borderId="10" applyAlignment="1" applyProtection="1" pivotButton="0" quotePrefix="0" xfId="0">
      <alignment horizontal="left" vertical="top" wrapText="1"/>
      <protection locked="0" hidden="0"/>
    </xf>
    <xf numFmtId="0" fontId="0" fillId="0" borderId="6" applyProtection="1" pivotButton="0" quotePrefix="0" xfId="0">
      <protection locked="0" hidden="0"/>
    </xf>
    <xf numFmtId="0" fontId="0" fillId="0" borderId="1" applyProtection="1" pivotButton="0" quotePrefix="0" xfId="0">
      <protection locked="0" hidden="0"/>
    </xf>
    <xf numFmtId="0" fontId="0" fillId="0" borderId="7" applyProtection="1" pivotButton="0" quotePrefix="0" xfId="0">
      <protection locked="0" hidden="0"/>
    </xf>
    <xf numFmtId="0" fontId="0" fillId="0" borderId="0" applyProtection="1" pivotButton="0" quotePrefix="0" xfId="0">
      <protection locked="0" hidden="0"/>
    </xf>
    <xf numFmtId="0" fontId="0" fillId="0" borderId="4" applyProtection="1" pivotButton="0" quotePrefix="0" xfId="0">
      <protection locked="0" hidden="0"/>
    </xf>
    <xf numFmtId="0" fontId="0" fillId="0" borderId="3" applyProtection="1" pivotButton="0" quotePrefix="0" xfId="0">
      <protection locked="0" hidden="0"/>
    </xf>
    <xf numFmtId="0" fontId="1" fillId="0" borderId="0" applyProtection="1" pivotButton="0" quotePrefix="0" xfId="0">
      <protection locked="0" hidden="0"/>
    </xf>
    <xf numFmtId="49" fontId="0" fillId="0" borderId="0" applyProtection="1" pivotButton="0" quotePrefix="0" xfId="0">
      <protection locked="0" hidden="0"/>
    </xf>
    <xf numFmtId="49" fontId="6" fillId="0" borderId="0" applyAlignment="1" applyProtection="1" pivotButton="0" quotePrefix="0" xfId="0">
      <alignment horizontal="left" vertical="top"/>
      <protection locked="0" hidden="0"/>
    </xf>
    <xf numFmtId="0" fontId="0" fillId="3" borderId="0" applyProtection="1" pivotButton="0" quotePrefix="0" xfId="0">
      <protection locked="0" hidden="0"/>
    </xf>
    <xf numFmtId="0" fontId="1" fillId="3" borderId="0" applyProtection="1" pivotButton="0" quotePrefix="0" xfId="0">
      <protection locked="0" hidden="0"/>
    </xf>
    <xf numFmtId="0" fontId="1" fillId="0" borderId="0" applyAlignment="1" applyProtection="1" pivotButton="0" quotePrefix="0" xfId="0">
      <alignment horizontal="center"/>
      <protection locked="0" hidden="0"/>
    </xf>
    <xf numFmtId="0" fontId="0" fillId="0" borderId="0" applyAlignment="1" applyProtection="1" pivotButton="0" quotePrefix="0" xfId="0">
      <alignment horizontal="left"/>
      <protection locked="0" hidden="0"/>
    </xf>
    <xf numFmtId="0" fontId="0" fillId="0" borderId="18" applyAlignment="1" applyProtection="1" pivotButton="0" quotePrefix="0" xfId="0">
      <alignment horizontal="left"/>
      <protection locked="0" hidden="0"/>
    </xf>
    <xf numFmtId="0" fontId="0" fillId="0" borderId="18" applyProtection="1" pivotButton="0" quotePrefix="0" xfId="0">
      <protection locked="0" hidden="0"/>
    </xf>
    <xf numFmtId="0" fontId="0" fillId="0" borderId="19" applyProtection="1" pivotButton="0" quotePrefix="0" xfId="0">
      <protection locked="0" hidden="0"/>
    </xf>
    <xf numFmtId="0" fontId="0" fillId="0" borderId="5" applyProtection="1" pivotButton="0" quotePrefix="0" xfId="0">
      <protection locked="0" hidden="0"/>
    </xf>
    <xf numFmtId="0" fontId="0" fillId="0" borderId="2" applyProtection="1" pivotButton="0" quotePrefix="0" xfId="0">
      <protection locked="0" hidden="0"/>
    </xf>
    <xf numFmtId="0" fontId="0" fillId="0" borderId="8" applyProtection="1" pivotButton="0" quotePrefix="0" xfId="0">
      <protection locked="0" hidden="0"/>
    </xf>
    <xf numFmtId="49" fontId="6" fillId="0" borderId="0" applyAlignment="1" pivotButton="0" quotePrefix="0" xfId="0">
      <alignment horizontal="left" vertical="top"/>
    </xf>
    <xf numFmtId="0" fontId="1" fillId="0" borderId="19" pivotButton="0" quotePrefix="0" xfId="0"/>
    <xf numFmtId="0" fontId="0" fillId="0" borderId="21" pivotButton="0" quotePrefix="0" xfId="0"/>
    <xf numFmtId="49" fontId="1" fillId="0" borderId="4" applyProtection="1" pivotButton="0" quotePrefix="0" xfId="0">
      <protection locked="0" hidden="0"/>
    </xf>
    <xf numFmtId="49" fontId="0" fillId="0" borderId="4" applyProtection="1" pivotButton="0" quotePrefix="0" xfId="0">
      <protection locked="0" hidden="0"/>
    </xf>
    <xf numFmtId="49" fontId="6" fillId="0" borderId="4" applyAlignment="1" applyProtection="1" pivotButton="0" quotePrefix="0" xfId="0">
      <alignment horizontal="right" vertical="top"/>
      <protection locked="0" hidden="0"/>
    </xf>
    <xf numFmtId="0" fontId="0" fillId="0" borderId="0" applyAlignment="1" applyProtection="1" pivotButton="0" quotePrefix="0" xfId="0">
      <alignment horizontal="left" vertical="center"/>
      <protection locked="0" hidden="0"/>
    </xf>
    <xf numFmtId="0" fontId="1" fillId="8" borderId="6" applyProtection="1" pivotButton="0" quotePrefix="0" xfId="0">
      <protection locked="0" hidden="0"/>
    </xf>
    <xf numFmtId="0" fontId="0" fillId="8" borderId="1" applyProtection="1" pivotButton="0" quotePrefix="0" xfId="0">
      <protection locked="0" hidden="0"/>
    </xf>
    <xf numFmtId="0" fontId="0" fillId="8" borderId="6" applyProtection="1" pivotButton="0" quotePrefix="0" xfId="0">
      <protection locked="0" hidden="0"/>
    </xf>
    <xf numFmtId="0" fontId="0" fillId="8" borderId="7" applyProtection="1" pivotButton="0" quotePrefix="0" xfId="0">
      <protection locked="0" hidden="0"/>
    </xf>
    <xf numFmtId="0" fontId="1" fillId="8" borderId="4" applyProtection="1" pivotButton="0" quotePrefix="0" xfId="0">
      <protection locked="0" hidden="0"/>
    </xf>
    <xf numFmtId="0" fontId="0" fillId="8" borderId="0" applyProtection="1" pivotButton="0" quotePrefix="0" xfId="0">
      <protection locked="0" hidden="0"/>
    </xf>
    <xf numFmtId="0" fontId="0" fillId="8" borderId="4" applyProtection="1" pivotButton="0" quotePrefix="0" xfId="0">
      <protection locked="0" hidden="0"/>
    </xf>
    <xf numFmtId="0" fontId="0" fillId="8" borderId="3" applyProtection="1" pivotButton="0" quotePrefix="0" xfId="0">
      <protection locked="0" hidden="0"/>
    </xf>
    <xf numFmtId="0" fontId="0" fillId="8" borderId="5" applyProtection="1" pivotButton="0" quotePrefix="0" xfId="0">
      <protection locked="0" hidden="0"/>
    </xf>
    <xf numFmtId="0" fontId="0" fillId="8" borderId="2" applyProtection="1" pivotButton="0" quotePrefix="0" xfId="0">
      <protection locked="0" hidden="0"/>
    </xf>
    <xf numFmtId="0" fontId="13" fillId="8" borderId="4" applyProtection="1" pivotButton="0" quotePrefix="0" xfId="0">
      <protection locked="0" hidden="0"/>
    </xf>
    <xf numFmtId="0" fontId="13" fillId="8" borderId="0" applyProtection="1" pivotButton="0" quotePrefix="0" xfId="0">
      <protection locked="0" hidden="0"/>
    </xf>
    <xf numFmtId="0" fontId="13" fillId="8" borderId="3" applyProtection="1" pivotButton="0" quotePrefix="0" xfId="0">
      <protection locked="0" hidden="0"/>
    </xf>
    <xf numFmtId="0" fontId="0" fillId="8" borderId="8" applyProtection="1" pivotButton="0" quotePrefix="0" xfId="0">
      <protection locked="0" hidden="0"/>
    </xf>
    <xf numFmtId="0" fontId="15" fillId="0" borderId="0" pivotButton="0" quotePrefix="0" xfId="0"/>
    <xf numFmtId="0" fontId="0" fillId="0" borderId="19" pivotButton="0" quotePrefix="0" xfId="0"/>
    <xf numFmtId="0" fontId="17" fillId="0" borderId="0" applyProtection="1" pivotButton="0" quotePrefix="0" xfId="0">
      <protection locked="0" hidden="0"/>
    </xf>
    <xf numFmtId="0" fontId="1" fillId="0" borderId="0" applyAlignment="1" applyProtection="1" pivotButton="0" quotePrefix="0" xfId="0">
      <alignment horizontal="left" indent="1"/>
      <protection locked="0" hidden="0"/>
    </xf>
    <xf numFmtId="0" fontId="1" fillId="0" borderId="0" applyProtection="1" pivotButton="0" quotePrefix="0" xfId="20">
      <protection locked="0" hidden="0"/>
    </xf>
    <xf numFmtId="0" fontId="21" fillId="0" borderId="0" applyAlignment="1" applyProtection="1" pivotButton="0" quotePrefix="1" xfId="0">
      <alignment vertical="top" wrapText="1"/>
      <protection locked="0" hidden="0"/>
    </xf>
    <xf numFmtId="0" fontId="10" fillId="0" borderId="0" applyProtection="1" pivotButton="0" quotePrefix="0" xfId="0">
      <protection locked="0" hidden="0"/>
    </xf>
    <xf numFmtId="0" fontId="1" fillId="0" borderId="15" applyAlignment="1" applyProtection="1" pivotButton="0" quotePrefix="0" xfId="20">
      <alignment vertical="center"/>
      <protection locked="0" hidden="0"/>
    </xf>
    <xf numFmtId="0" fontId="1" fillId="0" borderId="12" applyAlignment="1" applyProtection="1" pivotButton="0" quotePrefix="0" xfId="20">
      <alignment horizontal="center"/>
      <protection locked="0" hidden="0"/>
    </xf>
    <xf numFmtId="0" fontId="1" fillId="0" borderId="9" applyAlignment="1" applyProtection="1" pivotButton="0" quotePrefix="0" xfId="20">
      <alignment horizontal="center"/>
      <protection locked="0" hidden="0"/>
    </xf>
    <xf numFmtId="2" fontId="1" fillId="3" borderId="15" applyAlignment="1" applyProtection="1" pivotButton="0" quotePrefix="0" xfId="20">
      <alignment horizontal="right" vertical="center"/>
      <protection locked="0" hidden="0"/>
    </xf>
    <xf numFmtId="0" fontId="1" fillId="3" borderId="12" applyAlignment="1" applyProtection="1" pivotButton="0" quotePrefix="0" xfId="20">
      <alignment horizontal="right" vertical="center"/>
      <protection locked="0" hidden="0"/>
    </xf>
    <xf numFmtId="0" fontId="1" fillId="0" borderId="1" applyProtection="1" pivotButton="0" quotePrefix="0" xfId="20">
      <protection locked="0" hidden="0"/>
    </xf>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12" fillId="0" borderId="0" applyAlignment="1" pivotButton="0" quotePrefix="0" xfId="20">
      <alignment horizontal="left" wrapText="1"/>
    </xf>
    <xf numFmtId="0" fontId="8" fillId="0" borderId="0" pivotButton="0" quotePrefix="0" xfId="20"/>
    <xf numFmtId="164" fontId="13" fillId="0" borderId="0" applyAlignment="1" pivotButton="0" quotePrefix="0" xfId="20">
      <alignment horizontal="left" wrapText="1"/>
    </xf>
    <xf numFmtId="0" fontId="5" fillId="0" borderId="0" pivotButton="0" quotePrefix="0" xfId="20"/>
    <xf numFmtId="0" fontId="1" fillId="0" borderId="12" applyAlignment="1" pivotButton="0" quotePrefix="0" xfId="20">
      <alignment horizontal="center" vertical="center"/>
    </xf>
    <xf numFmtId="0" fontId="1" fillId="0" borderId="3" applyAlignment="1" pivotButton="0" quotePrefix="0" xfId="20">
      <alignment vertical="center"/>
    </xf>
    <xf numFmtId="0" fontId="6" fillId="0" borderId="0" applyAlignment="1" pivotButton="0" quotePrefix="0" xfId="0">
      <alignment horizontal="left" vertical="top" wrapText="1"/>
    </xf>
    <xf numFmtId="0" fontId="1" fillId="0" borderId="0" applyAlignment="1" pivotButton="0" quotePrefix="0" xfId="20">
      <alignment vertical="center"/>
    </xf>
    <xf numFmtId="0" fontId="1" fillId="15" borderId="16" applyAlignment="1" pivotButton="0" quotePrefix="0" xfId="20">
      <alignment vertical="center" wrapText="1"/>
    </xf>
    <xf numFmtId="0" fontId="1" fillId="15" borderId="12" applyAlignment="1" pivotButton="0" quotePrefix="0" xfId="20">
      <alignment horizontal="center" vertical="center"/>
    </xf>
    <xf numFmtId="0" fontId="1" fillId="17" borderId="12" applyAlignment="1" pivotButton="0" quotePrefix="0" xfId="20">
      <alignment horizontal="center" vertical="center" wrapText="1"/>
    </xf>
    <xf numFmtId="0" fontId="17" fillId="0" borderId="0" applyAlignment="1" applyProtection="1" pivotButton="0" quotePrefix="0" xfId="0">
      <alignment horizontal="left" vertical="center"/>
      <protection locked="0" hidden="0"/>
    </xf>
    <xf numFmtId="0" fontId="17" fillId="0" borderId="0" applyAlignment="1" applyProtection="1" pivotButton="0" quotePrefix="0" xfId="0">
      <alignment vertical="center"/>
      <protection locked="0" hidden="0"/>
    </xf>
    <xf numFmtId="0" fontId="2" fillId="0" borderId="0" applyAlignment="1" pivotButton="0" quotePrefix="0" xfId="0">
      <alignment horizontal="left"/>
    </xf>
    <xf numFmtId="0" fontId="6" fillId="0" borderId="6" applyAlignment="1" pivotButton="0" quotePrefix="0" xfId="0">
      <alignment horizontal="left" vertical="center"/>
    </xf>
    <xf numFmtId="0" fontId="17" fillId="0" borderId="1" applyAlignment="1" pivotButton="0" quotePrefix="0" xfId="0">
      <alignment horizontal="left" vertical="center"/>
    </xf>
    <xf numFmtId="49" fontId="6" fillId="0" borderId="5" applyAlignment="1" pivotButton="0" quotePrefix="0" xfId="0">
      <alignment horizontal="left"/>
    </xf>
    <xf numFmtId="49" fontId="6" fillId="0" borderId="6" applyAlignment="1" pivotButton="0" quotePrefix="0" xfId="0">
      <alignment horizontal="left" vertical="top"/>
    </xf>
    <xf numFmtId="0" fontId="6" fillId="0" borderId="1" applyAlignment="1" pivotButton="0" quotePrefix="0" xfId="0">
      <alignment horizontal="left" vertical="top"/>
    </xf>
    <xf numFmtId="49" fontId="6" fillId="0" borderId="4" applyAlignment="1" pivotButton="0" quotePrefix="0" xfId="0">
      <alignment horizontal="left" vertical="top"/>
    </xf>
    <xf numFmtId="0" fontId="6" fillId="0" borderId="0" applyAlignment="1" pivotButton="0" quotePrefix="0" xfId="0">
      <alignment horizontal="left" vertical="top"/>
    </xf>
    <xf numFmtId="0" fontId="17" fillId="0" borderId="0" applyAlignment="1" pivotButton="0" quotePrefix="0" xfId="0">
      <alignment horizontal="left" vertical="top"/>
    </xf>
    <xf numFmtId="0" fontId="2" fillId="0" borderId="0" applyAlignment="1" pivotButton="0" quotePrefix="0" xfId="0">
      <alignment horizontal="left" vertical="top"/>
    </xf>
    <xf numFmtId="0" fontId="1" fillId="0" borderId="0" applyAlignment="1" pivotButton="0" quotePrefix="0" xfId="0">
      <alignment horizontal="left" vertical="top"/>
    </xf>
    <xf numFmtId="0" fontId="45" fillId="0" borderId="0" applyAlignment="1" pivotButton="0" quotePrefix="0" xfId="0">
      <alignment horizontal="left" vertical="top"/>
    </xf>
    <xf numFmtId="49" fontId="27" fillId="0" borderId="4" applyAlignment="1" pivotButton="0" quotePrefix="0" xfId="0">
      <alignment horizontal="left" vertical="top"/>
    </xf>
    <xf numFmtId="0" fontId="28" fillId="0" borderId="0" applyAlignment="1" pivotButton="0" quotePrefix="0" xfId="0">
      <alignment horizontal="left" vertical="top" wrapText="1"/>
    </xf>
    <xf numFmtId="49" fontId="27" fillId="0" borderId="4" applyAlignment="1" pivotButton="0" quotePrefix="0" xfId="0">
      <alignment horizontal="left" vertical="center"/>
    </xf>
    <xf numFmtId="0" fontId="28" fillId="0" borderId="0" pivotButton="0" quotePrefix="0" xfId="0"/>
    <xf numFmtId="0" fontId="28" fillId="0" borderId="0" applyAlignment="1" pivotButton="0" quotePrefix="0" xfId="0">
      <alignment vertical="center"/>
    </xf>
    <xf numFmtId="0" fontId="27" fillId="0" borderId="0" applyAlignment="1" pivotButton="0" quotePrefix="0" xfId="0">
      <alignment vertical="top" wrapText="1"/>
    </xf>
    <xf numFmtId="49" fontId="6" fillId="0" borderId="4" applyAlignment="1" pivotButton="0" quotePrefix="0" xfId="0">
      <alignment horizontal="left" vertical="center"/>
    </xf>
    <xf numFmtId="0" fontId="2" fillId="0" borderId="0" applyAlignment="1" pivotButton="0" quotePrefix="0" xfId="0">
      <alignment vertical="center"/>
    </xf>
    <xf numFmtId="0" fontId="6" fillId="0" borderId="0" applyAlignment="1" pivotButton="0" quotePrefix="0" xfId="0">
      <alignment vertical="top" wrapText="1"/>
    </xf>
    <xf numFmtId="49" fontId="6" fillId="0" borderId="6" applyAlignment="1" pivotButton="0" quotePrefix="0" xfId="0">
      <alignment horizontal="left" vertical="center"/>
    </xf>
    <xf numFmtId="0" fontId="2" fillId="0" borderId="1" pivotButton="0" quotePrefix="0" xfId="0"/>
    <xf numFmtId="0" fontId="2" fillId="0" borderId="1" applyAlignment="1" pivotButton="0" quotePrefix="0" xfId="0">
      <alignment vertical="center"/>
    </xf>
    <xf numFmtId="0" fontId="6" fillId="0" borderId="1" applyAlignment="1" pivotButton="0" quotePrefix="0" xfId="0">
      <alignment vertical="top" wrapText="1"/>
    </xf>
    <xf numFmtId="0" fontId="6" fillId="0" borderId="4" applyAlignment="1" pivotButton="0" quotePrefix="0" xfId="0">
      <alignment horizontal="left" vertical="center"/>
    </xf>
    <xf numFmtId="0" fontId="2" fillId="0" borderId="0" applyAlignment="1" pivotButton="0" quotePrefix="0" xfId="0">
      <alignment horizontal="left" vertical="center" wrapText="1"/>
    </xf>
    <xf numFmtId="49" fontId="6" fillId="0" borderId="4" applyAlignment="1" pivotButton="0" quotePrefix="0" xfId="0">
      <alignment horizontal="left" vertical="top" wrapText="1"/>
    </xf>
    <xf numFmtId="49" fontId="6" fillId="0" borderId="4" applyAlignment="1" pivotButton="0" quotePrefix="0" xfId="0">
      <alignment horizontal="left"/>
    </xf>
    <xf numFmtId="0" fontId="6" fillId="0" borderId="0" applyAlignment="1" pivotButton="0" quotePrefix="0" xfId="0">
      <alignment horizontal="left" vertical="center" wrapText="1"/>
    </xf>
    <xf numFmtId="49" fontId="1" fillId="0" borderId="4" applyAlignment="1" pivotButton="0" quotePrefix="0" xfId="0">
      <alignment horizontal="left"/>
    </xf>
    <xf numFmtId="0" fontId="2" fillId="0" borderId="0" applyAlignment="1" pivotButton="0" quotePrefix="0" xfId="0">
      <alignment horizontal="right" wrapText="1"/>
    </xf>
    <xf numFmtId="49" fontId="2" fillId="0" borderId="4" applyAlignment="1" pivotButton="0" quotePrefix="0" xfId="0">
      <alignment horizontal="left"/>
    </xf>
    <xf numFmtId="0" fontId="27" fillId="0" borderId="0" pivotButton="0" quotePrefix="0" xfId="0"/>
    <xf numFmtId="0" fontId="28" fillId="0" borderId="0" applyAlignment="1" pivotButton="0" quotePrefix="0" xfId="0">
      <alignment horizontal="right" wrapText="1"/>
    </xf>
    <xf numFmtId="49" fontId="27" fillId="0" borderId="4" applyAlignment="1" pivotButton="0" quotePrefix="0" xfId="0">
      <alignment horizontal="left"/>
    </xf>
    <xf numFmtId="49" fontId="6" fillId="0" borderId="6" applyAlignment="1" pivotButton="0" quotePrefix="0" xfId="0">
      <alignment horizontal="left"/>
    </xf>
    <xf numFmtId="0" fontId="6" fillId="0" borderId="1" pivotButton="0" quotePrefix="0" xfId="0"/>
    <xf numFmtId="0" fontId="2" fillId="0" borderId="1" applyAlignment="1" pivotButton="0" quotePrefix="0" xfId="0">
      <alignment horizontal="right" wrapText="1"/>
    </xf>
    <xf numFmtId="0" fontId="1" fillId="0" borderId="0" applyAlignment="1" pivotButton="0" quotePrefix="0" xfId="0">
      <alignment horizontal="center" vertical="top" wrapText="1"/>
    </xf>
    <xf numFmtId="0" fontId="17"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0" applyAlignment="1" pivotButton="0" quotePrefix="0" xfId="0">
      <alignment vertical="top" wrapText="1"/>
    </xf>
    <xf numFmtId="49" fontId="6" fillId="0" borderId="5" applyAlignment="1" pivotButton="0" quotePrefix="0" xfId="0">
      <alignment horizontal="left" vertical="center"/>
    </xf>
    <xf numFmtId="0" fontId="6" fillId="0" borderId="2" applyAlignment="1" pivotButton="0" quotePrefix="0" xfId="0">
      <alignment wrapText="1"/>
    </xf>
    <xf numFmtId="0" fontId="2" fillId="0" borderId="2" applyAlignment="1" pivotButton="0" quotePrefix="0" xfId="0">
      <alignment horizontal="right" wrapText="1"/>
    </xf>
    <xf numFmtId="0" fontId="6" fillId="0" borderId="2" pivotButton="0" quotePrefix="0" xfId="0"/>
    <xf numFmtId="0" fontId="2" fillId="0" borderId="0" applyAlignment="1" pivotButton="0" quotePrefix="0" xfId="0">
      <alignment wrapText="1"/>
    </xf>
    <xf numFmtId="49" fontId="6" fillId="0" borderId="4" applyAlignment="1" pivotButton="0" quotePrefix="1" xfId="0">
      <alignment horizontal="left" vertical="top" wrapText="1"/>
    </xf>
    <xf numFmtId="0" fontId="19" fillId="0" borderId="0" applyAlignment="1" pivotButton="0" quotePrefix="0" xfId="0">
      <alignment horizontal="left" vertical="top" wrapText="1"/>
    </xf>
    <xf numFmtId="0" fontId="17" fillId="0" borderId="0" pivotButton="0" quotePrefix="0" xfId="0"/>
    <xf numFmtId="0" fontId="2" fillId="0" borderId="5" applyAlignment="1" pivotButton="0" quotePrefix="0" xfId="0">
      <alignment horizontal="left"/>
    </xf>
    <xf numFmtId="0" fontId="2" fillId="0" borderId="6" applyAlignment="1" pivotButton="0" quotePrefix="0" xfId="0">
      <alignment horizontal="left"/>
    </xf>
    <xf numFmtId="0" fontId="6" fillId="0" borderId="0" applyAlignment="1" pivotButton="0" quotePrefix="0" xfId="19">
      <alignment horizontal="left" vertical="top"/>
    </xf>
    <xf numFmtId="49" fontId="2" fillId="0" borderId="4" applyAlignment="1" pivotButton="0" quotePrefix="0" xfId="0">
      <alignment horizontal="left" vertical="top"/>
    </xf>
    <xf numFmtId="0" fontId="33" fillId="0" borderId="0" applyAlignment="1" pivotButton="0" quotePrefix="0" xfId="0">
      <alignment horizontal="left" vertical="top" wrapText="1"/>
    </xf>
    <xf numFmtId="0" fontId="33" fillId="0" borderId="0" applyAlignment="1" pivotButton="0" quotePrefix="0" xfId="0">
      <alignment horizontal="left" vertical="top"/>
    </xf>
    <xf numFmtId="0" fontId="2" fillId="0" borderId="0" applyAlignment="1" pivotButton="0" quotePrefix="0" xfId="0">
      <alignment horizontal="center"/>
    </xf>
    <xf numFmtId="0" fontId="2" fillId="0" borderId="4" applyAlignment="1" pivotButton="0" quotePrefix="0" xfId="0">
      <alignment horizontal="left"/>
    </xf>
    <xf numFmtId="0" fontId="2" fillId="0" borderId="0" applyAlignment="1" pivotButton="0" quotePrefix="0" xfId="0">
      <alignment horizontal="center" vertical="center"/>
    </xf>
    <xf numFmtId="49" fontId="1" fillId="0" borderId="4" applyAlignment="1" pivotButton="0" quotePrefix="0" xfId="0">
      <alignment horizontal="left" vertical="top"/>
    </xf>
    <xf numFmtId="0" fontId="1" fillId="0" borderId="0" applyAlignment="1" pivotButton="0" quotePrefix="0" xfId="0">
      <alignment horizontal="center" vertical="center"/>
    </xf>
    <xf numFmtId="49" fontId="2" fillId="0" borderId="5" applyAlignment="1" pivotButton="0" quotePrefix="0" xfId="0">
      <alignment horizontal="left"/>
    </xf>
    <xf numFmtId="49" fontId="2" fillId="0" borderId="6" applyAlignment="1" pivotButton="0" quotePrefix="0" xfId="0">
      <alignment horizontal="left"/>
    </xf>
    <xf numFmtId="0" fontId="6" fillId="0" borderId="3" applyAlignment="1" pivotButton="0" quotePrefix="0" xfId="0">
      <alignment vertical="top" wrapText="1"/>
    </xf>
    <xf numFmtId="0" fontId="2" fillId="0" borderId="2" applyAlignment="1" pivotButton="0" quotePrefix="0" xfId="0">
      <alignment horizontal="left"/>
    </xf>
    <xf numFmtId="0" fontId="2" fillId="0" borderId="1" applyAlignment="1" pivotButton="0" quotePrefix="0" xfId="0">
      <alignment horizontal="left"/>
    </xf>
    <xf numFmtId="49" fontId="2" fillId="0" borderId="4" applyAlignment="1" pivotButton="0" quotePrefix="0" xfId="0">
      <alignment horizontal="left" vertical="top" wrapText="1"/>
    </xf>
    <xf numFmtId="0" fontId="2" fillId="0" borderId="0" applyAlignment="1" pivotButton="0" quotePrefix="0" xfId="0">
      <alignment horizontal="right"/>
    </xf>
    <xf numFmtId="167" fontId="2" fillId="0" borderId="0" applyAlignment="1" pivotButton="0" quotePrefix="0" xfId="3">
      <alignment horizontal="right"/>
    </xf>
    <xf numFmtId="165" fontId="2" fillId="0" borderId="0" applyAlignment="1" pivotButton="0" quotePrefix="0" xfId="0">
      <alignment horizontal="center"/>
    </xf>
    <xf numFmtId="165" fontId="2" fillId="0" borderId="0" applyAlignment="1" pivotButton="0" quotePrefix="0" xfId="0">
      <alignment horizontal="left"/>
    </xf>
    <xf numFmtId="167" fontId="2" fillId="0" borderId="0" applyAlignment="1" pivotButton="0" quotePrefix="0" xfId="3">
      <alignment horizontal="left"/>
    </xf>
    <xf numFmtId="49" fontId="1" fillId="0" borderId="4" applyAlignment="1" pivotButton="0" quotePrefix="0" xfId="0">
      <alignment horizontal="left" vertical="top" wrapText="1"/>
    </xf>
    <xf numFmtId="0" fontId="1" fillId="0" borderId="0" applyAlignment="1" pivotButton="0" quotePrefix="0" xfId="0">
      <alignment horizontal="right"/>
    </xf>
    <xf numFmtId="0" fontId="22" fillId="0" borderId="0" applyAlignment="1" pivotButton="0" quotePrefix="0" xfId="0">
      <alignment horizontal="left" vertical="top" wrapText="1"/>
    </xf>
    <xf numFmtId="0" fontId="26" fillId="0" borderId="0" applyAlignment="1" pivotButton="0" quotePrefix="0" xfId="0">
      <alignment horizontal="left" vertical="top" wrapText="1"/>
    </xf>
    <xf numFmtId="0" fontId="1" fillId="0" borderId="2" applyAlignment="1" pivotButton="0" quotePrefix="0" xfId="0">
      <alignment horizontal="left"/>
    </xf>
    <xf numFmtId="0" fontId="1" fillId="0" borderId="2" applyAlignment="1" pivotButton="0" quotePrefix="0" xfId="0">
      <alignment horizontal="left" wrapText="1"/>
    </xf>
    <xf numFmtId="0" fontId="1" fillId="0" borderId="1" pivotButton="0" quotePrefix="0" xfId="0"/>
    <xf numFmtId="0" fontId="22" fillId="0" borderId="0" applyAlignment="1" pivotButton="0" quotePrefix="0" xfId="0">
      <alignment horizontal="left" vertical="top"/>
    </xf>
    <xf numFmtId="0" fontId="26" fillId="0" borderId="0" applyAlignment="1" pivotButton="0" quotePrefix="0" xfId="0">
      <alignment horizontal="left" vertical="top"/>
    </xf>
    <xf numFmtId="49" fontId="6" fillId="0" borderId="5" applyAlignment="1" pivotButton="0" quotePrefix="0" xfId="0">
      <alignment horizontal="left" vertical="top" wrapText="1"/>
    </xf>
    <xf numFmtId="0" fontId="1" fillId="0" borderId="2" applyAlignment="1" pivotButton="0" quotePrefix="0" xfId="0">
      <alignment horizontal="left" vertical="top" wrapText="1"/>
    </xf>
    <xf numFmtId="0" fontId="17" fillId="0" borderId="2" pivotButton="0" quotePrefix="0" xfId="0"/>
    <xf numFmtId="49" fontId="6" fillId="0" borderId="6" applyAlignment="1" pivotButton="0" quotePrefix="0" xfId="0">
      <alignment horizontal="left" vertical="top" wrapText="1"/>
    </xf>
    <xf numFmtId="0" fontId="1" fillId="0" borderId="1" applyAlignment="1" pivotButton="0" quotePrefix="0" xfId="0">
      <alignment horizontal="left" vertical="top" wrapText="1"/>
    </xf>
    <xf numFmtId="0" fontId="17" fillId="0" borderId="1" pivotButton="0" quotePrefix="0" xfId="0"/>
    <xf numFmtId="0" fontId="2" fillId="0" borderId="2" applyAlignment="1" pivotButton="0" quotePrefix="0" xfId="0">
      <alignment horizontal="left" vertical="top" wrapText="1"/>
    </xf>
    <xf numFmtId="0" fontId="2" fillId="0" borderId="2" applyAlignment="1" pivotButton="0" quotePrefix="0" xfId="0">
      <alignment horizontal="right"/>
    </xf>
    <xf numFmtId="49" fontId="1" fillId="0" borderId="0" applyAlignment="1" pivotButton="0" quotePrefix="0" xfId="0">
      <alignment horizontal="left" vertical="top"/>
    </xf>
    <xf numFmtId="0" fontId="17" fillId="0" borderId="3" pivotButton="0" quotePrefix="0" xfId="0"/>
    <xf numFmtId="0" fontId="1" fillId="0" borderId="2" pivotButton="0" quotePrefix="0" xfId="0"/>
    <xf numFmtId="49" fontId="18" fillId="0" borderId="0" applyAlignment="1" pivotButton="0" quotePrefix="0" xfId="0">
      <alignment horizontal="left"/>
    </xf>
    <xf numFmtId="0" fontId="17" fillId="0" borderId="0" applyAlignment="1" pivotButton="0" quotePrefix="0" xfId="0">
      <alignment horizontal="left"/>
    </xf>
    <xf numFmtId="0" fontId="31" fillId="2" borderId="12" applyAlignment="1" pivotButton="0" quotePrefix="0" xfId="20">
      <alignment vertical="center" wrapText="1"/>
    </xf>
    <xf numFmtId="0" fontId="0" fillId="0" borderId="10" applyAlignment="1" pivotButton="0" quotePrefix="0" xfId="0">
      <alignment vertical="center"/>
    </xf>
    <xf numFmtId="0" fontId="20" fillId="0" borderId="9" applyAlignment="1" pivotButton="0" quotePrefix="0" xfId="0">
      <alignment horizontal="center"/>
    </xf>
    <xf numFmtId="0" fontId="0" fillId="0" borderId="9" applyAlignment="1" pivotButton="0" quotePrefix="0" xfId="0">
      <alignment horizontal="center"/>
    </xf>
    <xf numFmtId="0" fontId="23" fillId="17" borderId="12" applyAlignment="1" pivotButton="0" quotePrefix="0" xfId="0">
      <alignment horizontal="center" vertical="center" wrapText="1"/>
    </xf>
    <xf numFmtId="0" fontId="51" fillId="10" borderId="12" applyAlignment="1" pivotButton="0" quotePrefix="0" xfId="20">
      <alignment horizontal="center" vertical="center" wrapText="1"/>
    </xf>
    <xf numFmtId="4" fontId="1" fillId="3" borderId="15" applyAlignment="1" applyProtection="1" pivotButton="0" quotePrefix="0" xfId="20">
      <alignment horizontal="right" vertical="center"/>
      <protection locked="0" hidden="0"/>
    </xf>
    <xf numFmtId="0" fontId="1" fillId="12" borderId="12" applyAlignment="1" pivotButton="0" quotePrefix="0" xfId="20">
      <alignment horizontal="center" vertical="center"/>
    </xf>
    <xf numFmtId="0" fontId="1" fillId="12" borderId="12" applyAlignment="1" pivotButton="0" quotePrefix="0" xfId="20">
      <alignment horizontal="center" vertical="center" wrapText="1"/>
    </xf>
    <xf numFmtId="0" fontId="1" fillId="0" borderId="9" applyAlignment="1" pivotButton="0" quotePrefix="0" xfId="0">
      <alignment horizontal="center" vertical="center"/>
    </xf>
    <xf numFmtId="0" fontId="0" fillId="0" borderId="9" applyAlignment="1" pivotButton="0" quotePrefix="0" xfId="0">
      <alignment horizontal="center" vertical="center"/>
    </xf>
    <xf numFmtId="0" fontId="1" fillId="3" borderId="12" applyAlignment="1" applyProtection="1" pivotButton="0" quotePrefix="0" xfId="20">
      <alignment horizontal="center" vertical="center"/>
      <protection locked="0" hidden="0"/>
    </xf>
    <xf numFmtId="49" fontId="54" fillId="0" borderId="4" applyAlignment="1" pivotButton="0" quotePrefix="0" xfId="0">
      <alignment horizontal="left"/>
    </xf>
    <xf numFmtId="0" fontId="23" fillId="0" borderId="0" applyAlignment="1" pivotButton="0" quotePrefix="1" xfId="0">
      <alignment horizontal="left" vertical="top" wrapText="1"/>
    </xf>
    <xf numFmtId="0" fontId="12" fillId="7" borderId="14" applyAlignment="1" pivotButton="0" quotePrefix="0" xfId="0">
      <alignment vertical="center" wrapText="1"/>
    </xf>
    <xf numFmtId="0" fontId="12" fillId="7" borderId="16" applyAlignment="1" pivotButton="0" quotePrefix="0" xfId="0">
      <alignment vertical="center" wrapText="1"/>
    </xf>
    <xf numFmtId="0" fontId="12" fillId="6" borderId="1" applyAlignment="1" pivotButton="0" quotePrefix="0" xfId="0">
      <alignment vertical="center" wrapText="1"/>
    </xf>
    <xf numFmtId="0" fontId="12" fillId="6" borderId="7" applyAlignment="1" pivotButton="0" quotePrefix="0" xfId="0">
      <alignment vertical="center" wrapText="1"/>
    </xf>
    <xf numFmtId="0" fontId="12" fillId="6" borderId="14" applyAlignment="1" pivotButton="0" quotePrefix="0" xfId="0">
      <alignment vertical="center" wrapText="1"/>
    </xf>
    <xf numFmtId="0" fontId="12" fillId="6" borderId="16" applyAlignment="1" pivotButton="0" quotePrefix="0" xfId="0">
      <alignment vertical="center" wrapText="1"/>
    </xf>
    <xf numFmtId="0" fontId="23" fillId="0" borderId="0" applyAlignment="1" pivotButton="0" quotePrefix="0" xfId="0">
      <alignment vertical="top" wrapText="1"/>
    </xf>
    <xf numFmtId="0" fontId="52" fillId="9" borderId="12" applyAlignment="1" pivotButton="0" quotePrefix="0" xfId="20">
      <alignment horizontal="center" vertical="center" wrapText="1"/>
    </xf>
    <xf numFmtId="49" fontId="52" fillId="11" borderId="12" applyAlignment="1" pivotButton="0" quotePrefix="0" xfId="20">
      <alignment horizontal="center" vertical="center" wrapText="1"/>
    </xf>
    <xf numFmtId="0" fontId="6" fillId="0" borderId="0" applyAlignment="1" pivotButton="0" quotePrefix="0" xfId="20">
      <alignment horizontal="left" wrapText="1"/>
    </xf>
    <xf numFmtId="164" fontId="6" fillId="0" borderId="0" applyAlignment="1" pivotButton="0" quotePrefix="0" xfId="20">
      <alignment horizontal="left" wrapText="1"/>
    </xf>
    <xf numFmtId="0" fontId="6" fillId="0" borderId="0" applyAlignment="1" pivotButton="0" quotePrefix="0" xfId="0">
      <alignment horizontal="left"/>
    </xf>
    <xf numFmtId="0" fontId="0" fillId="0" borderId="0" applyAlignment="1" pivotButton="0" quotePrefix="0" xfId="0">
      <alignment horizontal="left" wrapText="1"/>
    </xf>
    <xf numFmtId="0" fontId="1" fillId="0" borderId="0" applyAlignment="1" pivotButton="0" quotePrefix="0" xfId="0">
      <alignment horizontal="left" wrapText="1"/>
    </xf>
    <xf numFmtId="0" fontId="1" fillId="0" borderId="0" applyAlignment="1" pivotButton="0" quotePrefix="0" xfId="0">
      <alignment horizontal="left"/>
    </xf>
    <xf numFmtId="0" fontId="1" fillId="4" borderId="10" applyAlignment="1" applyProtection="1" pivotButton="0" quotePrefix="0" xfId="0">
      <alignment horizontal="left" vertical="top" wrapText="1"/>
      <protection locked="0" hidden="0"/>
    </xf>
    <xf numFmtId="0" fontId="1" fillId="4" borderId="11" applyAlignment="1" applyProtection="1" pivotButton="0" quotePrefix="0" xfId="0">
      <alignment horizontal="left" vertical="top" wrapText="1"/>
      <protection locked="0" hidden="0"/>
    </xf>
    <xf numFmtId="0" fontId="1" fillId="0" borderId="0" applyAlignment="1" pivotButton="0" quotePrefix="0" xfId="0">
      <alignment horizontal="left" vertical="top" wrapText="1"/>
    </xf>
    <xf numFmtId="0" fontId="6" fillId="0" borderId="0" applyAlignment="1" pivotButton="0" quotePrefix="0" xfId="0">
      <alignment horizontal="left" vertical="top" wrapText="1"/>
    </xf>
    <xf numFmtId="0" fontId="2" fillId="0" borderId="0" applyAlignment="1" pivotButton="0" quotePrefix="0" xfId="0">
      <alignment horizontal="right" wrapText="1"/>
    </xf>
    <xf numFmtId="0" fontId="1" fillId="0" borderId="0" applyAlignment="1" pivotButton="0" quotePrefix="0" xfId="0">
      <alignment horizontal="center" vertical="top" wrapText="1"/>
    </xf>
    <xf numFmtId="0" fontId="1" fillId="0" borderId="3" applyAlignment="1" pivotButton="0" quotePrefix="0" xfId="0">
      <alignment horizontal="center" vertical="top" wrapText="1"/>
    </xf>
    <xf numFmtId="0" fontId="28" fillId="0" borderId="0" applyAlignment="1" pivotButton="0" quotePrefix="0" xfId="0">
      <alignment horizontal="right" wrapText="1"/>
    </xf>
    <xf numFmtId="0" fontId="27" fillId="0" borderId="0" applyAlignment="1" pivotButton="0" quotePrefix="0" xfId="0">
      <alignment horizontal="left" wrapText="1"/>
    </xf>
    <xf numFmtId="0" fontId="1" fillId="0" borderId="0" applyAlignment="1" pivotButton="0" quotePrefix="0" xfId="0">
      <alignment horizontal="right"/>
    </xf>
    <xf numFmtId="164" fontId="6" fillId="0" borderId="0" applyAlignment="1" pivotButton="0" quotePrefix="0" xfId="15">
      <alignment horizontal="left" vertical="top" wrapText="1"/>
    </xf>
    <xf numFmtId="0" fontId="33" fillId="0" borderId="0" applyAlignment="1" pivotButton="0" quotePrefix="0" xfId="0">
      <alignment horizontal="left" vertical="top" wrapText="1"/>
    </xf>
    <xf numFmtId="0" fontId="2" fillId="0" borderId="0" applyAlignment="1" pivotButton="0" quotePrefix="0" xfId="0">
      <alignment horizontal="left" vertical="top" wrapText="1"/>
    </xf>
    <xf numFmtId="164" fontId="6"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0" applyAlignment="1" pivotButton="0" quotePrefix="0" xfId="0">
      <alignment horizontal="left" vertical="top" wrapText="1"/>
    </xf>
    <xf numFmtId="49" fontId="6" fillId="0" borderId="4" applyAlignment="1" pivotButton="0" quotePrefix="0" xfId="0">
      <alignment horizontal="left" vertical="top" wrapText="1"/>
    </xf>
    <xf numFmtId="0" fontId="2" fillId="0" borderId="0" applyAlignment="1" pivotButton="0" quotePrefix="0" xfId="0">
      <alignment horizontal="left"/>
    </xf>
    <xf numFmtId="0" fontId="2" fillId="0" borderId="0" applyAlignment="1" pivotButton="0" quotePrefix="0" xfId="0">
      <alignment horizontal="center"/>
    </xf>
    <xf numFmtId="0" fontId="2" fillId="0" borderId="3" applyAlignment="1" pivotButton="0" quotePrefix="0" xfId="0">
      <alignment horizontal="left" vertical="top" wrapText="1"/>
    </xf>
    <xf numFmtId="0" fontId="50" fillId="0" borderId="0" applyAlignment="1" pivotButton="0" quotePrefix="0" xfId="0">
      <alignment horizontal="left" wrapText="1"/>
    </xf>
    <xf numFmtId="0" fontId="6" fillId="0" borderId="3" applyAlignment="1" pivotButton="0" quotePrefix="0" xfId="0">
      <alignment horizontal="left" vertical="top" wrapText="1"/>
    </xf>
    <xf numFmtId="0" fontId="6" fillId="3" borderId="9" applyAlignment="1" applyProtection="1" pivotButton="0" quotePrefix="0" xfId="0">
      <alignment horizontal="center" vertical="top" wrapText="1"/>
      <protection locked="0" hidden="0"/>
    </xf>
    <xf numFmtId="0" fontId="6" fillId="3" borderId="11" applyAlignment="1" applyProtection="1" pivotButton="0" quotePrefix="0" xfId="0">
      <alignment horizontal="center" vertical="top" wrapText="1"/>
      <protection locked="0" hidden="0"/>
    </xf>
    <xf numFmtId="0" fontId="50" fillId="0" borderId="0" applyAlignment="1" pivotButton="0" quotePrefix="0" xfId="0">
      <alignment horizontal="left" vertical="top" wrapText="1"/>
    </xf>
    <xf numFmtId="0" fontId="27" fillId="0" borderId="0" applyAlignment="1" pivotButton="0" quotePrefix="0" xfId="0">
      <alignment horizontal="left" vertical="center" wrapText="1"/>
    </xf>
    <xf numFmtId="0" fontId="28" fillId="0" borderId="0" applyAlignment="1" pivotButton="0" quotePrefix="0" xfId="0">
      <alignment horizontal="left" vertical="center" wrapText="1"/>
    </xf>
    <xf numFmtId="0" fontId="2" fillId="4" borderId="10" applyAlignment="1" applyProtection="1" pivotButton="0" quotePrefix="0" xfId="0">
      <alignment horizontal="left" vertical="top" wrapText="1"/>
      <protection locked="0" hidden="0"/>
    </xf>
    <xf numFmtId="0" fontId="2" fillId="4" borderId="11" applyAlignment="1" applyProtection="1" pivotButton="0" quotePrefix="0" xfId="0">
      <alignment horizontal="left" vertical="top" wrapText="1"/>
      <protection locked="0" hidden="0"/>
    </xf>
    <xf numFmtId="0" fontId="6" fillId="4" borderId="10" applyAlignment="1" applyProtection="1" pivotButton="0" quotePrefix="0" xfId="0">
      <alignment horizontal="left" vertical="top" wrapText="1"/>
      <protection locked="0" hidden="0"/>
    </xf>
    <xf numFmtId="0" fontId="6" fillId="4" borderId="11" applyAlignment="1" applyProtection="1" pivotButton="0" quotePrefix="0" xfId="0">
      <alignment horizontal="left" vertical="top" wrapText="1"/>
      <protection locked="0" hidden="0"/>
    </xf>
    <xf numFmtId="0" fontId="23" fillId="0" borderId="0" applyAlignment="1" pivotButton="0" quotePrefix="0" xfId="0">
      <alignment horizontal="left" vertical="top" wrapText="1"/>
    </xf>
    <xf numFmtId="0" fontId="23" fillId="0" borderId="3" applyAlignment="1" pivotButton="0" quotePrefix="0" xfId="0">
      <alignment horizontal="left" vertical="top" wrapText="1"/>
    </xf>
    <xf numFmtId="0" fontId="1" fillId="0" borderId="0" applyAlignment="1" pivotButton="0" quotePrefix="0" xfId="0">
      <alignment horizontal="left" vertical="top"/>
    </xf>
    <xf numFmtId="0" fontId="1" fillId="0" borderId="3" applyAlignment="1" pivotButton="0" quotePrefix="0" xfId="0">
      <alignment horizontal="left" vertical="top"/>
    </xf>
    <xf numFmtId="0" fontId="1" fillId="0" borderId="0" applyAlignment="1" pivotButton="0" quotePrefix="0" xfId="0">
      <alignment horizontal="right" vertical="top"/>
    </xf>
    <xf numFmtId="0" fontId="1" fillId="0" borderId="3" applyAlignment="1" pivotButton="0" quotePrefix="0" xfId="0">
      <alignment horizontal="right" vertical="top"/>
    </xf>
    <xf numFmtId="0" fontId="21" fillId="0" borderId="0" applyAlignment="1" pivotButton="0" quotePrefix="1" xfId="0">
      <alignment horizontal="left" vertical="top" wrapText="1"/>
    </xf>
    <xf numFmtId="0" fontId="21" fillId="0" borderId="0" applyAlignment="1" pivotButton="0" quotePrefix="0" xfId="0">
      <alignment horizontal="left" vertical="top" wrapText="1"/>
    </xf>
    <xf numFmtId="0" fontId="21" fillId="0" borderId="3" applyAlignment="1" pivotButton="0" quotePrefix="0" xfId="0">
      <alignment horizontal="left" vertical="top" wrapText="1"/>
    </xf>
    <xf numFmtId="164" fontId="6" fillId="0" borderId="0" applyAlignment="1" pivotButton="0" quotePrefix="0" xfId="0">
      <alignment horizontal="left" wrapText="1"/>
    </xf>
    <xf numFmtId="0" fontId="12" fillId="0" borderId="0" applyAlignment="1" pivotButton="0" quotePrefix="0" xfId="0">
      <alignment horizontal="left" wrapText="1"/>
    </xf>
    <xf numFmtId="0" fontId="49" fillId="8" borderId="5" applyAlignment="1" pivotButton="0" quotePrefix="0" xfId="0">
      <alignment horizontal="left"/>
    </xf>
    <xf numFmtId="0" fontId="49" fillId="8" borderId="2" applyAlignment="1" pivotButton="0" quotePrefix="0" xfId="0">
      <alignment horizontal="left"/>
    </xf>
    <xf numFmtId="0" fontId="49" fillId="8" borderId="8" applyAlignment="1" pivotButton="0" quotePrefix="0" xfId="0">
      <alignment horizontal="left"/>
    </xf>
    <xf numFmtId="0" fontId="1" fillId="8" borderId="15" applyAlignment="1" pivotButton="0" quotePrefix="0" xfId="0">
      <alignment horizontal="left"/>
    </xf>
    <xf numFmtId="0" fontId="0" fillId="8" borderId="14" applyAlignment="1" pivotButton="0" quotePrefix="0" xfId="0">
      <alignment horizontal="left"/>
    </xf>
    <xf numFmtId="0" fontId="0" fillId="8" borderId="16" applyAlignment="1" pivotButton="0" quotePrefix="0" xfId="0">
      <alignment horizontal="left"/>
    </xf>
    <xf numFmtId="0" fontId="6" fillId="0" borderId="0" applyAlignment="1" pivotButton="0" quotePrefix="0" xfId="0">
      <alignment horizontal="center"/>
    </xf>
    <xf numFmtId="0" fontId="0" fillId="0" borderId="0" applyAlignment="1" applyProtection="1" pivotButton="0" quotePrefix="0" xfId="0">
      <alignment horizontal="center"/>
      <protection locked="0" hidden="0"/>
    </xf>
    <xf numFmtId="0" fontId="47"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left"/>
    </xf>
    <xf numFmtId="0" fontId="20" fillId="0" borderId="0" applyAlignment="1" applyProtection="1" pivotButton="0" quotePrefix="0" xfId="0">
      <alignment horizontal="left"/>
      <protection locked="0" hidden="0"/>
    </xf>
    <xf numFmtId="0" fontId="31" fillId="0" borderId="0" applyAlignment="1" pivotButton="0" quotePrefix="0" xfId="0">
      <alignment horizontal="center"/>
    </xf>
    <xf numFmtId="0" fontId="19" fillId="0" borderId="0" applyAlignment="1" pivotButton="0" quotePrefix="0" xfId="0">
      <alignment horizontal="center"/>
    </xf>
    <xf numFmtId="0" fontId="19" fillId="0" borderId="3" applyAlignment="1" pivotButton="0" quotePrefix="0" xfId="0">
      <alignment horizontal="center"/>
    </xf>
    <xf numFmtId="0" fontId="1" fillId="0" borderId="4" applyAlignment="1" pivotButton="0" quotePrefix="0" xfId="0">
      <alignment horizontal="center"/>
    </xf>
    <xf numFmtId="0" fontId="1" fillId="0" borderId="0" applyAlignment="1" pivotButton="0" quotePrefix="0" xfId="0">
      <alignment horizontal="center"/>
    </xf>
    <xf numFmtId="0" fontId="1" fillId="0" borderId="3" applyAlignment="1" pivotButton="0" quotePrefix="0" xfId="0">
      <alignment horizontal="center"/>
    </xf>
    <xf numFmtId="0" fontId="19" fillId="0" borderId="0" applyAlignment="1" pivotButton="0" quotePrefix="0" xfId="0">
      <alignment horizontal="center" wrapText="1"/>
    </xf>
    <xf numFmtId="0" fontId="19" fillId="0" borderId="3" applyAlignment="1" pivotButton="0" quotePrefix="0" xfId="0">
      <alignment horizontal="center" wrapText="1"/>
    </xf>
    <xf numFmtId="0" fontId="6" fillId="0" borderId="0" applyAlignment="1" pivotButton="0" quotePrefix="0" xfId="0">
      <alignment horizontal="left" wrapText="1"/>
    </xf>
    <xf numFmtId="0" fontId="0" fillId="0" borderId="10" applyAlignment="1" pivotButton="0" quotePrefix="0" xfId="0">
      <alignment horizontal="center" vertical="center"/>
    </xf>
    <xf numFmtId="0" fontId="19" fillId="0" borderId="4" applyAlignment="1" pivotButton="0" quotePrefix="0" xfId="0">
      <alignment horizontal="center"/>
    </xf>
    <xf numFmtId="0" fontId="6" fillId="2" borderId="15" applyAlignment="1" pivotButton="0" quotePrefix="0" xfId="0">
      <alignment horizontal="center" vertical="center"/>
    </xf>
    <xf numFmtId="0" fontId="6" fillId="2" borderId="14" applyAlignment="1" pivotButton="0" quotePrefix="0" xfId="0">
      <alignment horizontal="center" vertical="center"/>
    </xf>
    <xf numFmtId="0" fontId="6" fillId="2" borderId="7" applyAlignment="1" pivotButton="0" quotePrefix="0" xfId="0">
      <alignment horizontal="center" vertical="center"/>
    </xf>
    <xf numFmtId="0" fontId="19" fillId="0" borderId="0" applyAlignment="1" pivotButton="0" quotePrefix="0" xfId="0">
      <alignment horizontal="center" vertical="center"/>
    </xf>
    <xf numFmtId="0" fontId="19" fillId="0" borderId="3" applyAlignment="1" pivotButton="0" quotePrefix="0" xfId="0">
      <alignment horizontal="center" vertical="center"/>
    </xf>
    <xf numFmtId="0" fontId="19" fillId="0" borderId="4" applyAlignment="1" pivotButton="0" quotePrefix="0" xfId="0">
      <alignment horizontal="center" vertical="center"/>
    </xf>
    <xf numFmtId="0" fontId="19" fillId="0" borderId="4"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 applyAlignment="1" pivotButton="0" quotePrefix="0" xfId="0">
      <alignment horizontal="center" vertical="top" wrapText="1"/>
    </xf>
    <xf numFmtId="0" fontId="2" fillId="0" borderId="3" applyAlignment="1" pivotButton="0" quotePrefix="0" xfId="0">
      <alignment horizontal="center" vertical="center" wrapText="1"/>
    </xf>
    <xf numFmtId="0" fontId="19" fillId="0" borderId="4" applyAlignment="1" pivotButton="0" quotePrefix="0" xfId="0">
      <alignment horizontal="center" vertical="center" wrapText="1"/>
    </xf>
    <xf numFmtId="0" fontId="2" fillId="0" borderId="10" applyAlignment="1" pivotButton="0" quotePrefix="0" xfId="0">
      <alignment horizontal="center" vertical="center"/>
    </xf>
    <xf numFmtId="0" fontId="1" fillId="0" borderId="10" applyAlignment="1" pivotButton="0" quotePrefix="0" xfId="0">
      <alignment horizontal="center" vertical="center"/>
    </xf>
    <xf numFmtId="0" fontId="1" fillId="12" borderId="12" applyAlignment="1" pivotButton="0" quotePrefix="0" xfId="0">
      <alignment horizontal="left" vertical="center" wrapText="1"/>
    </xf>
    <xf numFmtId="0" fontId="0" fillId="12" borderId="12" applyAlignment="1" pivotButton="0" quotePrefix="0" xfId="0">
      <alignment horizontal="left" vertical="center" wrapText="1"/>
    </xf>
    <xf numFmtId="0" fontId="1" fillId="12" borderId="9" applyAlignment="1" pivotButton="0" quotePrefix="0" xfId="20">
      <alignment horizontal="left" vertical="center"/>
    </xf>
    <xf numFmtId="0" fontId="1" fillId="12" borderId="11" applyAlignment="1" pivotButton="0" quotePrefix="0" xfId="20">
      <alignment horizontal="left" vertical="center"/>
    </xf>
    <xf numFmtId="0" fontId="36" fillId="12" borderId="6" applyAlignment="1" pivotButton="0" quotePrefix="0" xfId="20">
      <alignment horizontal="center" vertical="center" wrapText="1"/>
    </xf>
    <xf numFmtId="0" fontId="36" fillId="12" borderId="1" applyAlignment="1" pivotButton="0" quotePrefix="0" xfId="20">
      <alignment horizontal="center" vertical="center"/>
    </xf>
    <xf numFmtId="0" fontId="36" fillId="12" borderId="7" applyAlignment="1" pivotButton="0" quotePrefix="0" xfId="20">
      <alignment horizontal="center" vertical="center"/>
    </xf>
    <xf numFmtId="0" fontId="36" fillId="12" borderId="5" applyAlignment="1" pivotButton="0" quotePrefix="0" xfId="20">
      <alignment horizontal="center" vertical="center"/>
    </xf>
    <xf numFmtId="0" fontId="36" fillId="12" borderId="2" applyAlignment="1" pivotButton="0" quotePrefix="0" xfId="20">
      <alignment horizontal="center" vertical="center"/>
    </xf>
    <xf numFmtId="0" fontId="36" fillId="12" borderId="8" applyAlignment="1" pivotButton="0" quotePrefix="0" xfId="20">
      <alignment horizontal="center" vertical="center"/>
    </xf>
    <xf numFmtId="164" fontId="1" fillId="0" borderId="0" applyAlignment="1" pivotButton="0" quotePrefix="0" xfId="0">
      <alignment horizontal="left" vertical="top" wrapText="1"/>
    </xf>
    <xf numFmtId="0" fontId="1" fillId="0" borderId="12" applyAlignment="1" applyProtection="1" pivotButton="0" quotePrefix="0" xfId="20">
      <alignment horizontal="left" vertical="center"/>
      <protection locked="0" hidden="0"/>
    </xf>
    <xf numFmtId="0" fontId="1" fillId="0" borderId="0" applyAlignment="1" pivotButton="0" quotePrefix="0" xfId="20">
      <alignment horizontal="left" vertical="center"/>
    </xf>
    <xf numFmtId="0" fontId="1" fillId="0" borderId="3" applyAlignment="1" pivotButton="0" quotePrefix="0" xfId="20">
      <alignment horizontal="left" vertical="center"/>
    </xf>
    <xf numFmtId="0" fontId="6" fillId="0" borderId="12" applyAlignment="1" applyProtection="1" pivotButton="0" quotePrefix="0" xfId="20">
      <alignment horizontal="left" vertical="center"/>
      <protection locked="0" hidden="0"/>
    </xf>
    <xf numFmtId="0" fontId="31" fillId="0" borderId="15" applyAlignment="1" applyProtection="1" pivotButton="0" quotePrefix="0" xfId="20">
      <alignment horizontal="left" vertical="top" wrapText="1"/>
      <protection locked="0" hidden="0"/>
    </xf>
    <xf numFmtId="0" fontId="31" fillId="0" borderId="16" applyAlignment="1" applyProtection="1" pivotButton="0" quotePrefix="0" xfId="20">
      <alignment horizontal="left" vertical="top" wrapText="1"/>
      <protection locked="0" hidden="0"/>
    </xf>
    <xf numFmtId="0" fontId="31" fillId="0" borderId="14" applyAlignment="1" applyProtection="1" pivotButton="0" quotePrefix="0" xfId="20">
      <alignment horizontal="left" vertical="top" wrapText="1"/>
      <protection locked="0" hidden="0"/>
    </xf>
    <xf numFmtId="0" fontId="1" fillId="0" borderId="15" applyAlignment="1" applyProtection="1" pivotButton="0" quotePrefix="0" xfId="20">
      <alignment horizontal="left" vertical="center"/>
      <protection locked="0" hidden="0"/>
    </xf>
    <xf numFmtId="0" fontId="1" fillId="0" borderId="14" applyAlignment="1" applyProtection="1" pivotButton="0" quotePrefix="0" xfId="20">
      <alignment horizontal="left" vertical="center"/>
      <protection locked="0" hidden="0"/>
    </xf>
    <xf numFmtId="0" fontId="1" fillId="0" borderId="16" applyAlignment="1" applyProtection="1" pivotButton="0" quotePrefix="0" xfId="20">
      <alignment horizontal="left" vertical="center"/>
      <protection locked="0" hidden="0"/>
    </xf>
    <xf numFmtId="0" fontId="31" fillId="0" borderId="15" applyAlignment="1" applyProtection="1" pivotButton="0" quotePrefix="0" xfId="20">
      <alignment horizontal="left" vertical="top"/>
      <protection locked="0" hidden="0"/>
    </xf>
    <xf numFmtId="0" fontId="31" fillId="0" borderId="14" applyAlignment="1" applyProtection="1" pivotButton="0" quotePrefix="0" xfId="20">
      <alignment horizontal="left" vertical="top"/>
      <protection locked="0" hidden="0"/>
    </xf>
    <xf numFmtId="0" fontId="31" fillId="0" borderId="16" applyAlignment="1" applyProtection="1" pivotButton="0" quotePrefix="0" xfId="20">
      <alignment horizontal="left" vertical="top"/>
      <protection locked="0" hidden="0"/>
    </xf>
    <xf numFmtId="0" fontId="31" fillId="0" borderId="5" applyAlignment="1" applyProtection="1" pivotButton="0" quotePrefix="0" xfId="20">
      <alignment horizontal="left" vertical="top" wrapText="1"/>
      <protection locked="0" hidden="0"/>
    </xf>
    <xf numFmtId="0" fontId="31" fillId="0" borderId="2" applyAlignment="1" applyProtection="1" pivotButton="0" quotePrefix="0" xfId="20">
      <alignment horizontal="left" vertical="top" wrapText="1"/>
      <protection locked="0" hidden="0"/>
    </xf>
    <xf numFmtId="0" fontId="31" fillId="0" borderId="8" applyAlignment="1" applyProtection="1" pivotButton="0" quotePrefix="0" xfId="20">
      <alignment horizontal="left" vertical="top" wrapText="1"/>
      <protection locked="0" hidden="0"/>
    </xf>
    <xf numFmtId="0" fontId="1" fillId="12" borderId="12" applyAlignment="1" pivotButton="0" quotePrefix="0" xfId="20">
      <alignment horizontal="center" vertical="center"/>
    </xf>
    <xf numFmtId="0" fontId="5" fillId="12" borderId="6" applyAlignment="1" pivotButton="0" quotePrefix="0" xfId="20">
      <alignment horizontal="center" vertical="center"/>
    </xf>
    <xf numFmtId="0" fontId="5" fillId="12" borderId="1" applyAlignment="1" pivotButton="0" quotePrefix="0" xfId="20">
      <alignment horizontal="center" vertical="center"/>
    </xf>
    <xf numFmtId="0" fontId="5" fillId="12" borderId="7" applyAlignment="1" pivotButton="0" quotePrefix="0" xfId="20">
      <alignment horizontal="center" vertical="center"/>
    </xf>
    <xf numFmtId="0" fontId="5" fillId="12" borderId="5" applyAlignment="1" pivotButton="0" quotePrefix="0" xfId="20">
      <alignment horizontal="center" vertical="center"/>
    </xf>
    <xf numFmtId="0" fontId="5" fillId="12" borderId="2" applyAlignment="1" pivotButton="0" quotePrefix="0" xfId="20">
      <alignment horizontal="center" vertical="center"/>
    </xf>
    <xf numFmtId="0" fontId="5" fillId="12" borderId="8" applyAlignment="1" pivotButton="0" quotePrefix="0" xfId="20">
      <alignment horizontal="center" vertical="center"/>
    </xf>
    <xf numFmtId="0" fontId="44" fillId="10" borderId="12" applyAlignment="1" pivotButton="0" quotePrefix="0" xfId="20">
      <alignment horizontal="center" vertical="center" wrapText="1"/>
    </xf>
    <xf numFmtId="0" fontId="6" fillId="2" borderId="15" applyAlignment="1" pivotButton="0" quotePrefix="0" xfId="20">
      <alignment horizontal="center" vertical="center"/>
    </xf>
    <xf numFmtId="0" fontId="6" fillId="2" borderId="16" applyAlignment="1" pivotButton="0" quotePrefix="0" xfId="20">
      <alignment horizontal="center" vertical="center"/>
    </xf>
    <xf numFmtId="0" fontId="39" fillId="0" borderId="15" applyAlignment="1" pivotButton="0" quotePrefix="0" xfId="20">
      <alignment horizontal="center" vertical="center" wrapText="1"/>
    </xf>
    <xf numFmtId="0" fontId="39" fillId="0" borderId="14" applyAlignment="1" pivotButton="0" quotePrefix="0" xfId="20">
      <alignment horizontal="center" vertical="center" wrapText="1"/>
    </xf>
    <xf numFmtId="0" fontId="38" fillId="0" borderId="14" applyAlignment="1" pivotButton="0" quotePrefix="0" xfId="20">
      <alignment horizontal="center"/>
    </xf>
    <xf numFmtId="0" fontId="38" fillId="0" borderId="16" applyAlignment="1" pivotButton="0" quotePrefix="0" xfId="20">
      <alignment horizontal="center"/>
    </xf>
    <xf numFmtId="0" fontId="1" fillId="14" borderId="15" applyAlignment="1" pivotButton="0" quotePrefix="0" xfId="0">
      <alignment horizontal="left" vertical="center"/>
    </xf>
    <xf numFmtId="0" fontId="1" fillId="14" borderId="14" applyAlignment="1" pivotButton="0" quotePrefix="0" xfId="0">
      <alignment horizontal="left" vertical="center"/>
    </xf>
    <xf numFmtId="0" fontId="1" fillId="14" borderId="16" applyAlignment="1" pivotButton="0" quotePrefix="0" xfId="0">
      <alignment horizontal="left" vertical="center"/>
    </xf>
    <xf numFmtId="0" fontId="1" fillId="0" borderId="15" applyAlignment="1" pivotButton="0" quotePrefix="0" xfId="0">
      <alignment horizontal="left" vertical="top" wrapText="1"/>
    </xf>
    <xf numFmtId="0" fontId="1" fillId="0" borderId="16" applyAlignment="1" pivotButton="0" quotePrefix="0" xfId="0">
      <alignment horizontal="left" vertical="top" wrapText="1"/>
    </xf>
    <xf numFmtId="0" fontId="1" fillId="0" borderId="12" applyAlignment="1" pivotButton="0" quotePrefix="0" xfId="0">
      <alignment horizontal="left" vertical="top" wrapText="1"/>
    </xf>
    <xf numFmtId="0" fontId="0" fillId="0" borderId="12" applyAlignment="1" pivotButton="0" quotePrefix="0" xfId="0">
      <alignment horizontal="left" vertical="top" wrapText="1"/>
    </xf>
    <xf numFmtId="0" fontId="0" fillId="0" borderId="0" applyAlignment="1" pivotButton="0" quotePrefix="0" xfId="0">
      <alignment horizontal="center"/>
    </xf>
    <xf numFmtId="0" fontId="1" fillId="14" borderId="12" applyAlignment="1" pivotButton="0" quotePrefix="0" xfId="0">
      <alignment horizontal="left" vertical="center"/>
    </xf>
    <xf numFmtId="0" fontId="0" fillId="14" borderId="12" applyAlignment="1" pivotButton="0" quotePrefix="0" xfId="0">
      <alignment horizontal="left" vertical="center"/>
    </xf>
    <xf numFmtId="0" fontId="6" fillId="0" borderId="6" applyAlignment="1" pivotButton="0" quotePrefix="0" xfId="0">
      <alignment horizontal="right" vertical="center"/>
    </xf>
    <xf numFmtId="0" fontId="6" fillId="0" borderId="7" applyAlignment="1" pivotButton="0" quotePrefix="0" xfId="0">
      <alignment horizontal="right" vertical="center"/>
    </xf>
    <xf numFmtId="0" fontId="6" fillId="0" borderId="4" applyAlignment="1" pivotButton="0" quotePrefix="0" xfId="0">
      <alignment horizontal="right" vertical="center"/>
    </xf>
    <xf numFmtId="0" fontId="6" fillId="0" borderId="3" applyAlignment="1" pivotButton="0" quotePrefix="0" xfId="0">
      <alignment horizontal="right" vertical="center"/>
    </xf>
    <xf numFmtId="0" fontId="6" fillId="0" borderId="5" applyAlignment="1" pivotButton="0" quotePrefix="0" xfId="0">
      <alignment horizontal="right" vertical="center"/>
    </xf>
    <xf numFmtId="0" fontId="6" fillId="0" borderId="8" applyAlignment="1" pivotButton="0" quotePrefix="0" xfId="0">
      <alignment horizontal="right" vertical="center"/>
    </xf>
    <xf numFmtId="168" fontId="6" fillId="0" borderId="9" applyAlignment="1" pivotButton="0" quotePrefix="0" xfId="0">
      <alignment horizontal="center" vertical="center"/>
    </xf>
    <xf numFmtId="168" fontId="6" fillId="0" borderId="10" applyAlignment="1" pivotButton="0" quotePrefix="0" xfId="0">
      <alignment horizontal="center" vertical="center"/>
    </xf>
    <xf numFmtId="168" fontId="6" fillId="0" borderId="11" applyAlignment="1" pivotButton="0" quotePrefix="0" xfId="0">
      <alignment horizontal="center" vertical="center"/>
    </xf>
    <xf numFmtId="0" fontId="13" fillId="0" borderId="15" applyAlignment="1" pivotButton="0" quotePrefix="0" xfId="0">
      <alignment horizontal="left"/>
    </xf>
    <xf numFmtId="0" fontId="13" fillId="0" borderId="16" applyAlignment="1" pivotButton="0" quotePrefix="0" xfId="0">
      <alignment horizontal="left"/>
    </xf>
    <xf numFmtId="16" fontId="6" fillId="0" borderId="6" applyAlignment="1" pivotButton="0" quotePrefix="0" xfId="0">
      <alignment horizontal="left" vertical="center" wrapText="1"/>
    </xf>
    <xf numFmtId="16" fontId="6" fillId="0" borderId="7" applyAlignment="1" pivotButton="0" quotePrefix="0" xfId="0">
      <alignment horizontal="left" vertical="center" wrapText="1"/>
    </xf>
    <xf numFmtId="16" fontId="6" fillId="0" borderId="4" applyAlignment="1" pivotButton="0" quotePrefix="0" xfId="0">
      <alignment horizontal="left" vertical="center" wrapText="1"/>
    </xf>
    <xf numFmtId="16" fontId="6" fillId="0" borderId="3" applyAlignment="1" pivotButton="0" quotePrefix="0" xfId="0">
      <alignment horizontal="left" vertical="center" wrapText="1"/>
    </xf>
    <xf numFmtId="0" fontId="6" fillId="0" borderId="12" applyAlignment="1" pivotButton="0" quotePrefix="0" xfId="0">
      <alignment horizontal="center" vertical="center" wrapText="1"/>
    </xf>
    <xf numFmtId="0" fontId="0" fillId="0" borderId="9" applyAlignment="1" pivotButton="0" quotePrefix="0" xfId="0">
      <alignment horizontal="center"/>
    </xf>
    <xf numFmtId="0" fontId="0" fillId="0" borderId="11" applyAlignment="1" pivotButton="0" quotePrefix="0" xfId="0">
      <alignment horizontal="center"/>
    </xf>
    <xf numFmtId="0" fontId="13" fillId="0" borderId="15" applyAlignment="1" pivotButton="0" quotePrefix="0" xfId="0">
      <alignment horizontal="center"/>
    </xf>
    <xf numFmtId="0" fontId="13" fillId="0" borderId="16" applyAlignment="1" pivotButton="0" quotePrefix="0" xfId="0">
      <alignment horizontal="center"/>
    </xf>
    <xf numFmtId="0" fontId="6" fillId="0" borderId="1" applyAlignment="1" pivotButton="0" quotePrefix="0" xfId="0">
      <alignment horizontal="left" vertical="center" wrapText="1"/>
    </xf>
    <xf numFmtId="0" fontId="6" fillId="0" borderId="7" applyAlignment="1" pivotButton="0" quotePrefix="0" xfId="0">
      <alignment horizontal="left" vertical="center" wrapText="1"/>
    </xf>
    <xf numFmtId="0" fontId="13" fillId="0" borderId="4" applyAlignment="1" pivotButton="0" quotePrefix="0" xfId="0">
      <alignment horizontal="left"/>
    </xf>
    <xf numFmtId="0" fontId="13" fillId="0" borderId="3" applyAlignment="1" pivotButton="0" quotePrefix="0" xfId="0">
      <alignment horizontal="left"/>
    </xf>
    <xf numFmtId="0" fontId="25" fillId="0" borderId="15" applyAlignment="1" pivotButton="0" quotePrefix="0" xfId="0">
      <alignment horizontal="left" vertical="center" wrapText="1"/>
    </xf>
    <xf numFmtId="0" fontId="24" fillId="0" borderId="16" applyAlignment="1" pivotButton="0" quotePrefix="0" xfId="0">
      <alignment horizontal="left" vertical="center" wrapText="1"/>
    </xf>
    <xf numFmtId="0" fontId="12" fillId="0" borderId="0" applyAlignment="1" pivotButton="0" quotePrefix="0" xfId="0">
      <alignment horizontal="left" vertical="center" wrapText="1"/>
    </xf>
    <xf numFmtId="0" fontId="14" fillId="0"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wrapText="1"/>
    </xf>
    <xf numFmtId="164" fontId="12" fillId="0" borderId="0" applyAlignment="1" pivotButton="0" quotePrefix="0" xfId="0">
      <alignment horizontal="left" wrapText="1"/>
    </xf>
    <xf numFmtId="0" fontId="12" fillId="5" borderId="15" applyAlignment="1" pivotButton="0" quotePrefix="0" xfId="0">
      <alignment horizontal="left" vertical="center" wrapText="1"/>
    </xf>
    <xf numFmtId="0" fontId="12" fillId="5" borderId="14" applyAlignment="1" pivotButton="0" quotePrefix="0" xfId="0">
      <alignment horizontal="left" vertical="center" wrapText="1"/>
    </xf>
    <xf numFmtId="0" fontId="12" fillId="5" borderId="16" applyAlignment="1" pivotButton="0" quotePrefix="0" xfId="0">
      <alignment horizontal="left" vertical="center" wrapText="1"/>
    </xf>
    <xf numFmtId="0" fontId="0" fillId="0" borderId="0" pivotButton="0" quotePrefix="0" xfId="0"/>
    <xf numFmtId="0" fontId="0" fillId="0" borderId="3" pivotButton="0" quotePrefix="0" xfId="0"/>
    <xf numFmtId="0" fontId="12" fillId="6" borderId="14" applyAlignment="1" pivotButton="0" quotePrefix="0" xfId="0">
      <alignment horizontal="left" vertical="center" wrapText="1"/>
    </xf>
    <xf numFmtId="0" fontId="12" fillId="6" borderId="16" applyAlignment="1" pivotButton="0" quotePrefix="0" xfId="0">
      <alignment horizontal="left" vertical="center" wrapText="1"/>
    </xf>
    <xf numFmtId="0" fontId="0" fillId="0" borderId="15" applyAlignment="1" pivotButton="0" quotePrefix="0" xfId="0">
      <alignment horizontal="left"/>
    </xf>
    <xf numFmtId="0" fontId="0" fillId="0" borderId="16" applyAlignment="1" pivotButton="0" quotePrefix="0" xfId="0">
      <alignment horizontal="left"/>
    </xf>
    <xf numFmtId="0" fontId="6" fillId="0" borderId="6" applyAlignment="1" pivotButton="0" quotePrefix="0" xfId="0">
      <alignment horizontal="left" vertical="center" wrapText="1"/>
    </xf>
    <xf numFmtId="10" fontId="1" fillId="3" borderId="15" applyAlignment="1" applyProtection="1" pivotButton="0" quotePrefix="0" xfId="20">
      <alignment horizontal="center" vertical="center"/>
      <protection locked="0" hidden="0"/>
    </xf>
    <xf numFmtId="10" fontId="1" fillId="3" borderId="16" applyAlignment="1" applyProtection="1" pivotButton="0" quotePrefix="0" xfId="20">
      <alignment horizontal="center" vertical="center"/>
      <protection locked="0" hidden="0"/>
    </xf>
    <xf numFmtId="169" fontId="6" fillId="0" borderId="15" applyAlignment="1" applyProtection="1" pivotButton="0" quotePrefix="0" xfId="0">
      <alignment horizontal="center" vertical="center" wrapText="1"/>
      <protection locked="0" hidden="0"/>
    </xf>
    <xf numFmtId="169" fontId="6" fillId="0" borderId="16" applyAlignment="1" applyProtection="1" pivotButton="0" quotePrefix="0" xfId="0">
      <alignment horizontal="center" vertical="center"/>
      <protection locked="0" hidden="0"/>
    </xf>
    <xf numFmtId="169" fontId="6" fillId="0" borderId="15" applyAlignment="1" applyProtection="1" pivotButton="0" quotePrefix="0" xfId="0">
      <alignment horizontal="center" vertical="center"/>
      <protection locked="0" hidden="0"/>
    </xf>
    <xf numFmtId="0" fontId="1" fillId="0" borderId="15" applyAlignment="1" applyProtection="1" pivotButton="0" quotePrefix="0" xfId="20">
      <alignment horizontal="center" vertical="center"/>
      <protection locked="0" hidden="0"/>
    </xf>
    <xf numFmtId="0" fontId="1" fillId="0" borderId="16" applyAlignment="1" applyProtection="1" pivotButton="0" quotePrefix="0" xfId="20">
      <alignment horizontal="center" vertical="center"/>
      <protection locked="0" hidden="0"/>
    </xf>
    <xf numFmtId="0" fontId="23" fillId="0" borderId="15" applyAlignment="1" applyProtection="1" pivotButton="0" quotePrefix="0" xfId="20">
      <alignment horizontal="center" vertical="center"/>
      <protection locked="0" hidden="0"/>
    </xf>
    <xf numFmtId="0" fontId="23" fillId="0" borderId="16" applyAlignment="1" applyProtection="1" pivotButton="0" quotePrefix="0" xfId="20">
      <alignment horizontal="center" vertical="center"/>
      <protection locked="0" hidden="0"/>
    </xf>
    <xf numFmtId="0" fontId="1" fillId="0" borderId="12" applyAlignment="1" applyProtection="1" pivotButton="0" quotePrefix="0" xfId="20">
      <alignment horizontal="center"/>
      <protection locked="0" hidden="0"/>
    </xf>
    <xf numFmtId="0" fontId="1" fillId="0" borderId="15" applyAlignment="1" applyProtection="1" pivotButton="0" quotePrefix="0" xfId="20">
      <alignment horizontal="center"/>
      <protection locked="0" hidden="0"/>
    </xf>
    <xf numFmtId="0" fontId="1" fillId="0" borderId="16" applyAlignment="1" applyProtection="1" pivotButton="0" quotePrefix="0" xfId="20">
      <alignment horizontal="center"/>
      <protection locked="0" hidden="0"/>
    </xf>
    <xf numFmtId="0" fontId="21" fillId="0" borderId="15" applyAlignment="1" applyProtection="1" pivotButton="0" quotePrefix="0" xfId="20">
      <alignment horizontal="center" vertical="center" wrapText="1"/>
      <protection locked="0" hidden="0"/>
    </xf>
    <xf numFmtId="0" fontId="21" fillId="0" borderId="14" applyAlignment="1" applyProtection="1" pivotButton="0" quotePrefix="0" xfId="20">
      <alignment horizontal="center" vertical="center" wrapText="1"/>
      <protection locked="0" hidden="0"/>
    </xf>
    <xf numFmtId="0" fontId="21" fillId="0" borderId="16" applyAlignment="1" applyProtection="1" pivotButton="0" quotePrefix="0" xfId="20">
      <alignment horizontal="center" vertical="center" wrapText="1"/>
      <protection locked="0" hidden="0"/>
    </xf>
    <xf numFmtId="0" fontId="1" fillId="0" borderId="15" applyAlignment="1" pivotButton="0" quotePrefix="0" xfId="20">
      <alignment horizontal="left" vertical="center" wrapText="1"/>
    </xf>
    <xf numFmtId="0" fontId="1" fillId="0" borderId="14" applyAlignment="1" pivotButton="0" quotePrefix="0" xfId="20">
      <alignment horizontal="left" vertical="center" wrapText="1"/>
    </xf>
    <xf numFmtId="0" fontId="1" fillId="0" borderId="14" applyAlignment="1" applyProtection="1" pivotButton="0" quotePrefix="0" xfId="20">
      <alignment horizontal="center" vertical="center"/>
      <protection locked="0" hidden="0"/>
    </xf>
    <xf numFmtId="0" fontId="1" fillId="0" borderId="16" applyAlignment="1" pivotButton="0" quotePrefix="0" xfId="20">
      <alignment horizontal="left" vertical="center" wrapText="1"/>
    </xf>
    <xf numFmtId="0" fontId="1" fillId="3" borderId="12" applyAlignment="1" applyProtection="1" pivotButton="0" quotePrefix="0" xfId="20">
      <alignment horizontal="center" vertical="center"/>
      <protection locked="0" hidden="0"/>
    </xf>
    <xf numFmtId="0" fontId="1" fillId="0" borderId="6" applyAlignment="1" applyProtection="1" pivotButton="0" quotePrefix="0" xfId="20">
      <alignment horizontal="left"/>
      <protection locked="0" hidden="0"/>
    </xf>
    <xf numFmtId="0" fontId="1" fillId="0" borderId="1" applyAlignment="1" applyProtection="1" pivotButton="0" quotePrefix="0" xfId="20">
      <alignment horizontal="left"/>
      <protection locked="0" hidden="0"/>
    </xf>
    <xf numFmtId="0" fontId="1" fillId="0" borderId="7" applyAlignment="1" applyProtection="1" pivotButton="0" quotePrefix="0" xfId="20">
      <alignment horizontal="left"/>
      <protection locked="0" hidden="0"/>
    </xf>
    <xf numFmtId="0" fontId="1" fillId="0" borderId="4" applyAlignment="1" applyProtection="1" pivotButton="0" quotePrefix="0" xfId="20">
      <alignment horizontal="left"/>
      <protection locked="0" hidden="0"/>
    </xf>
    <xf numFmtId="0" fontId="1" fillId="0" borderId="0" applyAlignment="1" applyProtection="1" pivotButton="0" quotePrefix="0" xfId="20">
      <alignment horizontal="left"/>
      <protection locked="0" hidden="0"/>
    </xf>
    <xf numFmtId="0" fontId="1" fillId="0" borderId="3" applyAlignment="1" applyProtection="1" pivotButton="0" quotePrefix="0" xfId="20">
      <alignment horizontal="left"/>
      <protection locked="0" hidden="0"/>
    </xf>
    <xf numFmtId="0" fontId="1" fillId="0" borderId="5" applyAlignment="1" applyProtection="1" pivotButton="0" quotePrefix="0" xfId="20">
      <alignment horizontal="left"/>
      <protection locked="0" hidden="0"/>
    </xf>
    <xf numFmtId="0" fontId="1" fillId="0" borderId="2" applyAlignment="1" applyProtection="1" pivotButton="0" quotePrefix="0" xfId="20">
      <alignment horizontal="left"/>
      <protection locked="0" hidden="0"/>
    </xf>
    <xf numFmtId="0" fontId="1" fillId="0" borderId="8" applyAlignment="1" applyProtection="1" pivotButton="0" quotePrefix="0" xfId="20">
      <alignment horizontal="left"/>
      <protection locked="0" hidden="0"/>
    </xf>
    <xf numFmtId="0" fontId="1" fillId="0" borderId="15" applyAlignment="1" pivotButton="0" quotePrefix="0" xfId="20">
      <alignment horizontal="left" vertical="center"/>
    </xf>
    <xf numFmtId="0" fontId="1" fillId="0" borderId="16" applyAlignment="1" pivotButton="0" quotePrefix="0" xfId="20">
      <alignment horizontal="left" vertical="center"/>
    </xf>
    <xf numFmtId="0" fontId="1" fillId="0" borderId="14" applyAlignment="1" pivotButton="0" quotePrefix="0" xfId="20">
      <alignment horizontal="left" vertical="center"/>
    </xf>
    <xf numFmtId="0" fontId="1" fillId="0" borderId="6" applyAlignment="1" pivotButton="0" quotePrefix="0" xfId="20">
      <alignment horizontal="left" vertical="center"/>
    </xf>
    <xf numFmtId="0" fontId="1" fillId="0" borderId="1" applyAlignment="1" pivotButton="0" quotePrefix="0" xfId="20">
      <alignment horizontal="left" vertical="center"/>
    </xf>
    <xf numFmtId="0" fontId="1" fillId="0" borderId="7" applyAlignment="1" pivotButton="0" quotePrefix="0" xfId="20">
      <alignment horizontal="left" vertical="center"/>
    </xf>
    <xf numFmtId="0" fontId="1" fillId="0" borderId="4" applyAlignment="1" pivotButton="0" quotePrefix="0" xfId="20">
      <alignment horizontal="left" vertical="center"/>
    </xf>
    <xf numFmtId="0" fontId="1" fillId="0" borderId="5" applyAlignment="1" pivotButton="0" quotePrefix="0" xfId="20">
      <alignment horizontal="left" vertical="center"/>
    </xf>
    <xf numFmtId="0" fontId="1" fillId="0" borderId="2" applyAlignment="1" pivotButton="0" quotePrefix="0" xfId="20">
      <alignment horizontal="left" vertical="center"/>
    </xf>
    <xf numFmtId="0" fontId="1" fillId="0" borderId="8" applyAlignment="1" pivotButton="0" quotePrefix="0" xfId="20">
      <alignment horizontal="left" vertical="center"/>
    </xf>
    <xf numFmtId="0" fontId="23" fillId="0" borderId="15" applyAlignment="1" pivotButton="0" quotePrefix="0" xfId="20">
      <alignment horizontal="left" vertical="center" wrapText="1"/>
    </xf>
    <xf numFmtId="0" fontId="23" fillId="0" borderId="14" applyAlignment="1" pivotButton="0" quotePrefix="0" xfId="20">
      <alignment horizontal="left" vertical="center" wrapText="1"/>
    </xf>
    <xf numFmtId="0" fontId="23" fillId="0" borderId="15" applyAlignment="1" applyProtection="1" pivotButton="0" quotePrefix="0" xfId="20">
      <alignment horizontal="left" vertical="center" wrapText="1"/>
      <protection locked="0" hidden="0"/>
    </xf>
    <xf numFmtId="0" fontId="23" fillId="0" borderId="14" applyAlignment="1" applyProtection="1" pivotButton="0" quotePrefix="0" xfId="20">
      <alignment horizontal="left" vertical="center" wrapText="1"/>
      <protection locked="0" hidden="0"/>
    </xf>
    <xf numFmtId="0" fontId="23" fillId="0" borderId="16" applyAlignment="1" applyProtection="1" pivotButton="0" quotePrefix="0" xfId="20">
      <alignment horizontal="left" vertical="center" wrapText="1"/>
      <protection locked="0" hidden="0"/>
    </xf>
    <xf numFmtId="0" fontId="1" fillId="0" borderId="6" applyAlignment="1" pivotButton="0" quotePrefix="0" xfId="20">
      <alignment horizontal="center" vertical="center" wrapText="1"/>
    </xf>
    <xf numFmtId="0" fontId="1" fillId="0" borderId="1" applyAlignment="1" pivotButton="0" quotePrefix="0" xfId="20">
      <alignment horizontal="center" vertical="center" wrapText="1"/>
    </xf>
    <xf numFmtId="0" fontId="1" fillId="0" borderId="4" applyAlignment="1" pivotButton="0" quotePrefix="0" xfId="20">
      <alignment horizontal="center" vertical="center" wrapText="1"/>
    </xf>
    <xf numFmtId="0" fontId="1" fillId="0" borderId="0" applyAlignment="1" pivotButton="0" quotePrefix="0" xfId="20">
      <alignment horizontal="center" vertical="center" wrapText="1"/>
    </xf>
    <xf numFmtId="0" fontId="1" fillId="0" borderId="5" applyAlignment="1" pivotButton="0" quotePrefix="0" xfId="20">
      <alignment horizontal="center" vertical="center" wrapText="1"/>
    </xf>
    <xf numFmtId="0" fontId="1" fillId="0" borderId="2" applyAlignment="1" pivotButton="0" quotePrefix="0" xfId="20">
      <alignment horizontal="center" vertical="center" wrapText="1"/>
    </xf>
    <xf numFmtId="0" fontId="1" fillId="0" borderId="9" applyAlignment="1" pivotButton="0" quotePrefix="0" xfId="20">
      <alignment horizontal="center" vertical="center"/>
    </xf>
    <xf numFmtId="0" fontId="1" fillId="0" borderId="10" applyAlignment="1" pivotButton="0" quotePrefix="0" xfId="20">
      <alignment horizontal="center" vertical="center"/>
    </xf>
    <xf numFmtId="0" fontId="1" fillId="0" borderId="11" applyAlignment="1" pivotButton="0" quotePrefix="0" xfId="20">
      <alignment horizontal="center" vertical="center"/>
    </xf>
    <xf numFmtId="0" fontId="12" fillId="0" borderId="0" applyAlignment="1" pivotButton="0" quotePrefix="0" xfId="20">
      <alignment horizontal="left" wrapText="1"/>
    </xf>
    <xf numFmtId="164" fontId="13" fillId="0" borderId="0" applyAlignment="1" pivotButton="0" quotePrefix="0" xfId="20">
      <alignment horizontal="left" wrapText="1"/>
    </xf>
    <xf numFmtId="0" fontId="1" fillId="0" borderId="2" applyAlignment="1" applyProtection="1" pivotButton="0" quotePrefix="0" xfId="20">
      <alignment horizontal="center"/>
      <protection locked="0" hidden="0"/>
    </xf>
    <xf numFmtId="0" fontId="6" fillId="3" borderId="12" applyAlignment="1" applyProtection="1" pivotButton="0" quotePrefix="0" xfId="0">
      <alignment horizontal="center" vertical="top" wrapText="1"/>
      <protection locked="0" hidden="0"/>
    </xf>
    <xf numFmtId="0" fontId="0" fillId="0" borderId="11" applyProtection="1" pivotButton="0" quotePrefix="0" xfId="0">
      <protection locked="0" hidden="0"/>
    </xf>
    <xf numFmtId="0" fontId="0" fillId="0" borderId="10" applyProtection="1" pivotButton="0" quotePrefix="0" xfId="0">
      <protection locked="0" hidden="0"/>
    </xf>
    <xf numFmtId="0" fontId="1" fillId="0" borderId="3" applyAlignment="1" pivotButton="0" quotePrefix="0" xfId="0">
      <alignment horizontal="left" vertical="top" wrapText="1"/>
    </xf>
    <xf numFmtId="167" fontId="2" fillId="3" borderId="11" applyAlignment="1" applyProtection="1" pivotButton="0" quotePrefix="0" xfId="3">
      <alignment horizontal="left" vertical="top" wrapText="1"/>
      <protection locked="0" hidden="0"/>
    </xf>
    <xf numFmtId="167" fontId="2" fillId="0" borderId="0" applyAlignment="1" pivotButton="0" quotePrefix="0" xfId="3">
      <alignment horizontal="right"/>
    </xf>
    <xf numFmtId="167" fontId="2" fillId="0" borderId="0" applyAlignment="1" pivotButton="0" quotePrefix="0" xfId="3">
      <alignment horizontal="left"/>
    </xf>
    <xf numFmtId="0" fontId="21" fillId="0" borderId="3" applyAlignment="1" pivotButton="0" quotePrefix="1" xfId="0">
      <alignment horizontal="left" vertical="top" wrapText="1"/>
    </xf>
    <xf numFmtId="0" fontId="49" fillId="8" borderId="11" applyAlignment="1" pivotButton="0" quotePrefix="0" xfId="0">
      <alignment horizontal="left"/>
    </xf>
    <xf numFmtId="0" fontId="1" fillId="8" borderId="12" applyAlignment="1" pivotButton="0" quotePrefix="0" xfId="0">
      <alignment horizontal="left"/>
    </xf>
    <xf numFmtId="0" fontId="0" fillId="0" borderId="14" pivotButton="0" quotePrefix="0" xfId="0"/>
    <xf numFmtId="0" fontId="0" fillId="0" borderId="16" pivotButton="0" quotePrefix="0" xfId="0"/>
    <xf numFmtId="0" fontId="1" fillId="0" borderId="10" applyAlignment="1" pivotButton="0" quotePrefix="0" xfId="0">
      <alignment horizontal="center"/>
    </xf>
    <xf numFmtId="0" fontId="19" fillId="0" borderId="10" applyAlignment="1" pivotButton="0" quotePrefix="0" xfId="0">
      <alignment horizontal="center" vertical="center"/>
    </xf>
    <xf numFmtId="0" fontId="19" fillId="0" borderId="10" applyAlignment="1" pivotButton="0" quotePrefix="0" xfId="0">
      <alignment horizontal="center" vertical="top" wrapText="1"/>
    </xf>
    <xf numFmtId="0" fontId="19" fillId="0" borderId="10" applyAlignment="1" pivotButton="0" quotePrefix="0" xfId="0">
      <alignment horizontal="center"/>
    </xf>
    <xf numFmtId="0" fontId="19" fillId="0" borderId="10" applyAlignment="1" pivotButton="0" quotePrefix="0" xfId="0">
      <alignment horizontal="center" vertical="center" wrapText="1"/>
    </xf>
    <xf numFmtId="0" fontId="0" fillId="0" borderId="14" applyProtection="1" pivotButton="0" quotePrefix="0" xfId="0">
      <protection locked="0" hidden="0"/>
    </xf>
    <xf numFmtId="0" fontId="0" fillId="0" borderId="16" applyProtection="1" pivotButton="0" quotePrefix="0" xfId="0">
      <protection locked="0" hidden="0"/>
    </xf>
    <xf numFmtId="0" fontId="1" fillId="12" borderId="12" applyAlignment="1" pivotButton="0" quotePrefix="0" xfId="20">
      <alignment horizontal="left" vertical="center"/>
    </xf>
    <xf numFmtId="0" fontId="36" fillId="12" borderId="12" applyAlignment="1" pivotButton="0" quotePrefix="0" xfId="20">
      <alignment horizontal="center" vertical="center" wrapText="1"/>
    </xf>
    <xf numFmtId="0" fontId="31" fillId="0" borderId="12" applyAlignment="1" applyProtection="1" pivotButton="0" quotePrefix="0" xfId="20">
      <alignment horizontal="left" vertical="top"/>
      <protection locked="0" hidden="0"/>
    </xf>
    <xf numFmtId="0" fontId="31" fillId="0" borderId="12" applyAlignment="1" applyProtection="1" pivotButton="0" quotePrefix="0" xfId="20">
      <alignment horizontal="left" vertical="top" wrapText="1"/>
      <protection locked="0" hidden="0"/>
    </xf>
    <xf numFmtId="0" fontId="31" fillId="0" borderId="11" applyAlignment="1" applyProtection="1" pivotButton="0" quotePrefix="0" xfId="20">
      <alignment horizontal="left" vertical="top" wrapText="1"/>
      <protection locked="0" hidden="0"/>
    </xf>
    <xf numFmtId="0" fontId="5" fillId="12" borderId="12" applyAlignment="1" pivotButton="0" quotePrefix="0" xfId="20">
      <alignment horizontal="center" vertical="center"/>
    </xf>
    <xf numFmtId="0" fontId="12" fillId="5" borderId="12" applyAlignment="1" pivotButton="0" quotePrefix="0" xfId="0">
      <alignment horizontal="left" vertical="center" wrapText="1"/>
    </xf>
    <xf numFmtId="0" fontId="0" fillId="0" borderId="12" applyAlignment="1" pivotButton="0" quotePrefix="0" xfId="0">
      <alignment horizontal="left"/>
    </xf>
    <xf numFmtId="0" fontId="6" fillId="0" borderId="9" applyAlignment="1" pivotButton="0" quotePrefix="0" xfId="0">
      <alignment horizontal="left" vertical="center" wrapText="1"/>
    </xf>
    <xf numFmtId="0" fontId="13" fillId="0" borderId="12" applyAlignment="1" pivotButton="0" quotePrefix="0" xfId="0">
      <alignment horizontal="center"/>
    </xf>
    <xf numFmtId="0" fontId="13" fillId="0" borderId="12" applyAlignment="1" pivotButton="0" quotePrefix="0" xfId="0">
      <alignment horizontal="left"/>
    </xf>
    <xf numFmtId="16" fontId="6" fillId="0" borderId="9" applyAlignment="1" pivotButton="0" quotePrefix="0" xfId="0">
      <alignment horizontal="left" vertical="center" wrapText="1"/>
    </xf>
    <xf numFmtId="0" fontId="0" fillId="0" borderId="12" applyAlignment="1" pivotButton="0" quotePrefix="0" xfId="0">
      <alignment horizontal="center"/>
    </xf>
    <xf numFmtId="0" fontId="13" fillId="0" borderId="10" applyAlignment="1" pivotButton="0" quotePrefix="0" xfId="0">
      <alignment horizontal="left"/>
    </xf>
    <xf numFmtId="0" fontId="25" fillId="0" borderId="12" applyAlignment="1" pivotButton="0" quotePrefix="0" xfId="0">
      <alignment horizontal="left" vertical="center" wrapText="1"/>
    </xf>
    <xf numFmtId="0" fontId="6" fillId="0" borderId="12" applyAlignment="1" pivotButton="0" quotePrefix="0" xfId="0">
      <alignment horizontal="right" vertical="center"/>
    </xf>
    <xf numFmtId="168" fontId="6" fillId="0" borderId="12" applyAlignment="1" pivotButton="0" quotePrefix="0" xfId="0">
      <alignment horizontal="center" vertical="center"/>
    </xf>
    <xf numFmtId="0" fontId="1" fillId="0" borderId="12" applyAlignment="1" pivotButton="0" quotePrefix="0" xfId="20">
      <alignment horizontal="left" vertical="center"/>
    </xf>
    <xf numFmtId="169" fontId="6" fillId="0" borderId="12" applyAlignment="1" applyProtection="1" pivotButton="0" quotePrefix="0" xfId="0">
      <alignment horizontal="center" vertical="center" wrapText="1"/>
      <protection locked="0" hidden="0"/>
    </xf>
    <xf numFmtId="169" fontId="6" fillId="0" borderId="12" applyAlignment="1" applyProtection="1" pivotButton="0" quotePrefix="0" xfId="0">
      <alignment horizontal="center" vertical="center"/>
      <protection locked="0" hidden="0"/>
    </xf>
    <xf numFmtId="0" fontId="1" fillId="0" borderId="12" applyAlignment="1" applyProtection="1" pivotButton="0" quotePrefix="0" xfId="20">
      <alignment horizontal="center" vertical="center"/>
      <protection locked="0" hidden="0"/>
    </xf>
    <xf numFmtId="0" fontId="23" fillId="0" borderId="12" applyAlignment="1" applyProtection="1" pivotButton="0" quotePrefix="0" xfId="20">
      <alignment horizontal="center" vertical="center"/>
      <protection locked="0" hidden="0"/>
    </xf>
    <xf numFmtId="0" fontId="1" fillId="0" borderId="15" applyAlignment="1" pivotButton="0" quotePrefix="0" xfId="20">
      <alignment horizontal="center" vertical="center" wrapText="1"/>
    </xf>
    <xf numFmtId="10" fontId="1" fillId="3" borderId="12" applyAlignment="1" applyProtection="1" pivotButton="0" quotePrefix="0" xfId="20">
      <alignment horizontal="center" vertical="center"/>
      <protection locked="0" hidden="0"/>
    </xf>
    <xf numFmtId="0" fontId="1" fillId="0" borderId="12" applyAlignment="1" pivotButton="0" quotePrefix="0" xfId="20">
      <alignment horizontal="left" vertical="center" wrapText="1"/>
    </xf>
    <xf numFmtId="0" fontId="21" fillId="0" borderId="12" applyAlignment="1" applyProtection="1" pivotButton="0" quotePrefix="0" xfId="20">
      <alignment horizontal="center" vertical="center" wrapText="1"/>
      <protection locked="0" hidden="0"/>
    </xf>
    <xf numFmtId="0" fontId="23" fillId="0" borderId="12" applyAlignment="1" applyProtection="1" pivotButton="0" quotePrefix="0" xfId="20">
      <alignment horizontal="left" vertical="center" wrapText="1"/>
      <protection locked="0" hidden="0"/>
    </xf>
    <xf numFmtId="0" fontId="1" fillId="0" borderId="12" applyAlignment="1" applyProtection="1" pivotButton="0" quotePrefix="0" xfId="20">
      <alignment horizontal="left"/>
      <protection locked="0" hidden="0"/>
    </xf>
  </cellXfs>
  <cellStyles count="40">
    <cellStyle name="Standard" xfId="0" builtinId="0"/>
    <cellStyle name="Euro" xfId="1"/>
    <cellStyle name="Euro 2" xfId="2"/>
    <cellStyle name="Euro 2 2" xfId="3"/>
    <cellStyle name="Euro 3" xfId="4"/>
    <cellStyle name="Euro 4" xfId="5"/>
    <cellStyle name="Euro 4 2" xfId="6"/>
    <cellStyle name="Euro 4 3" xfId="7"/>
    <cellStyle name="Euro 4 4" xfId="8"/>
    <cellStyle name="Euro 4 5" xfId="9"/>
    <cellStyle name="Euro 5" xfId="10"/>
    <cellStyle name="Euro 6" xfId="11"/>
    <cellStyle name="Euro 7" xfId="12"/>
    <cellStyle name="Euro 8" xfId="13"/>
    <cellStyle name="Komma 2" xfId="14"/>
    <cellStyle name="Komma 2 2" xfId="15"/>
    <cellStyle name="Komma 2 3" xfId="16"/>
    <cellStyle name="Komma 2 4" xfId="17"/>
    <cellStyle name="Komma 2 5" xfId="18"/>
    <cellStyle name="Standard 2" xfId="19"/>
    <cellStyle name="Standard 3" xfId="20"/>
    <cellStyle name="Euro 9" xfId="21"/>
    <cellStyle name="Euro 2 3" xfId="22"/>
    <cellStyle name="Euro 2 2 2" xfId="23"/>
    <cellStyle name="Euro 3 2" xfId="24"/>
    <cellStyle name="Euro 4 6" xfId="25"/>
    <cellStyle name="Euro 4 2 2" xfId="26"/>
    <cellStyle name="Euro 4 3 2" xfId="27"/>
    <cellStyle name="Euro 4 4 2" xfId="28"/>
    <cellStyle name="Euro 4 5 2" xfId="29"/>
    <cellStyle name="Euro 5 2" xfId="30"/>
    <cellStyle name="Euro 6 2" xfId="31"/>
    <cellStyle name="Euro 7 2" xfId="32"/>
    <cellStyle name="Euro 8 2" xfId="33"/>
    <cellStyle name="Komma 2 6" xfId="34"/>
    <cellStyle name="Komma 2 2 2" xfId="35"/>
    <cellStyle name="Komma 2 3 2" xfId="36"/>
    <cellStyle name="Komma 2 4 2" xfId="37"/>
    <cellStyle name="Komma 2 5 2" xfId="38"/>
    <cellStyle name="Standard 2 2" xfId="39"/>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trlProps/ctrlProp1.xml><?xml version="1.0" encoding="utf-8"?>
<formControlPr xmlns="http://schemas.microsoft.com/office/spreadsheetml/2009/9/main" objectType="CheckBox" lockText="1" noThreeD="1" checked="Checked"/>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checked="Checked"/>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checked="Checked"/>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checked="Checked"/>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123825</xdr:colOff>
          <xdr:row>20</xdr:row>
          <xdr:rowOff>133350</xdr:rowOff>
        </xdr:from>
        <xdr:to>
          <xdr:col>4</xdr:col>
          <xdr:colOff>533400</xdr:colOff>
          <xdr:row>23</xdr:row>
          <xdr:rowOff>85725</xdr:rowOff>
        </xdr:to>
        <xdr:sp macro="" textlink="">
          <xdr:nvSpPr>
            <xdr:cNvPr id="4097" name="Check Box 1" descr="Bieter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 Bieter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22</xdr:row>
          <xdr:rowOff>104775</xdr:rowOff>
        </xdr:from>
        <xdr:to>
          <xdr:col>5</xdr:col>
          <xdr:colOff>323850</xdr:colOff>
          <xdr:row>24</xdr:row>
          <xdr:rowOff>66675</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3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Mitglied der Bewerber- bzw. Bietergemeinschaft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23</xdr:row>
          <xdr:rowOff>114300</xdr:rowOff>
        </xdr:from>
        <xdr:to>
          <xdr:col>5</xdr:col>
          <xdr:colOff>323850</xdr:colOff>
          <xdr:row>26</xdr:row>
          <xdr:rowOff>9525</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3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Auftragnehmer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29</xdr:row>
          <xdr:rowOff>0</xdr:rowOff>
        </xdr:from>
        <xdr:to>
          <xdr:col>9</xdr:col>
          <xdr:colOff>590550</xdr:colOff>
          <xdr:row>31</xdr:row>
          <xdr:rowOff>123825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nicht die Kapazitäten der in den Buchstaben a) bis c) genannten Personen oder Unternehmen in Anspruch nehmen werde(n) / genommen habe(n) (Eignungsleihe).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31</xdr:row>
          <xdr:rowOff>9525</xdr:rowOff>
        </xdr:from>
        <xdr:to>
          <xdr:col>9</xdr:col>
          <xdr:colOff>581025</xdr:colOff>
          <xdr:row>33</xdr:row>
          <xdr:rowOff>133350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3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folgende Kapazitäten der in den Buchstaben a) bis c) genannten Personen oder Unternehmen in Anspruch nehmen werde(n) /  genommen habe(n) (Eignungsleihe).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504825</xdr:colOff>
          <xdr:row>33</xdr:row>
          <xdr:rowOff>95250</xdr:rowOff>
        </xdr:from>
        <xdr:to>
          <xdr:col>8</xdr:col>
          <xdr:colOff>409575</xdr:colOff>
          <xdr:row>35</xdr:row>
          <xdr:rowOff>95250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3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Leistungen keines Eignungsverleihers überschreiten zehn Prozent der Auftragssumme.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35</xdr:row>
          <xdr:rowOff>47625</xdr:rowOff>
        </xdr:from>
        <xdr:to>
          <xdr:col>8</xdr:col>
          <xdr:colOff>400050</xdr:colOff>
          <xdr:row>37</xdr:row>
          <xdr:rowOff>47625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Beauftragung ist aufgrund einer Asunahme ( Artikel 5k Absatz 2 der Verordnung (EU 2022/576) zulässig.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36</xdr:row>
          <xdr:rowOff>152400</xdr:rowOff>
        </xdr:from>
        <xdr:to>
          <xdr:col>8</xdr:col>
          <xdr:colOff>400050</xdr:colOff>
          <xdr:row>38</xdr:row>
          <xdr:rowOff>152400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Der Vertrag wurde vor dem 9. April 2022 geschlossen und die Zusammenarbeit wird zum 10. Oktober 2022 beendet.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42</xdr:row>
          <xdr:rowOff>0</xdr:rowOff>
        </xdr:from>
        <xdr:to>
          <xdr:col>9</xdr:col>
          <xdr:colOff>666750</xdr:colOff>
          <xdr:row>44</xdr:row>
          <xdr:rowOff>152400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keine der in den Buchstaben a) bis c) genannten Personen oder Unternehmen als Nachunternehmen beauftrage(n) / beauftragt habe(n).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44</xdr:row>
          <xdr:rowOff>9525</xdr:rowOff>
        </xdr:from>
        <xdr:to>
          <xdr:col>9</xdr:col>
          <xdr:colOff>676275</xdr:colOff>
          <xdr:row>47</xdr:row>
          <xdr:rowOff>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3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folgende der in den Buchstaben a) bis c) genannten Personen oder Unternehmen als Nachunternehmen beauftragen werde(n) / beauftragt habe(n).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390525</xdr:colOff>
          <xdr:row>47</xdr:row>
          <xdr:rowOff>95250</xdr:rowOff>
        </xdr:from>
        <xdr:to>
          <xdr:col>9</xdr:col>
          <xdr:colOff>95250</xdr:colOff>
          <xdr:row>49</xdr:row>
          <xdr:rowOff>95250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Leistungen keines Nachunternehmers überschreiten zehn Prozent der Auftragssumme.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49</xdr:row>
          <xdr:rowOff>76200</xdr:rowOff>
        </xdr:from>
        <xdr:to>
          <xdr:col>8</xdr:col>
          <xdr:colOff>733425</xdr:colOff>
          <xdr:row>51</xdr:row>
          <xdr:rowOff>76200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3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Beauftragung ist aufgrund einer Ausnahme (Artikel 5k Absatz 2 der Verordnung (EU) 2022/576) zulässig.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51</xdr:row>
          <xdr:rowOff>66675</xdr:rowOff>
        </xdr:from>
        <xdr:to>
          <xdr:col>9</xdr:col>
          <xdr:colOff>114300</xdr:colOff>
          <xdr:row>53</xdr:row>
          <xdr:rowOff>66675</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3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Der Vertrag wurde vor dem 9. April 2022 geschlossen und die Zusammenarbeit wird zum 10. Oktober 2022 beendet.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314325</xdr:colOff>
          <xdr:row>60</xdr:row>
          <xdr:rowOff>95250</xdr:rowOff>
        </xdr:from>
        <xdr:to>
          <xdr:col>9</xdr:col>
          <xdr:colOff>28575</xdr:colOff>
          <xdr:row>62</xdr:row>
          <xdr:rowOff>95250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3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Leistungen keines Lieferanten überschreiten zehn Prozent der Auftragssumme.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314325</xdr:colOff>
          <xdr:row>62</xdr:row>
          <xdr:rowOff>76200</xdr:rowOff>
        </xdr:from>
        <xdr:to>
          <xdr:col>9</xdr:col>
          <xdr:colOff>28575</xdr:colOff>
          <xdr:row>64</xdr:row>
          <xdr:rowOff>76200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3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Die Beauftragung ist aufgrund einer Ausnahme (Artikel 5k Absatz 2 der Verordnung (EU) 2022/576) zulässig.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56</xdr:row>
          <xdr:rowOff>0</xdr:rowOff>
        </xdr:from>
        <xdr:to>
          <xdr:col>9</xdr:col>
          <xdr:colOff>666750</xdr:colOff>
          <xdr:row>58</xdr:row>
          <xdr:rowOff>152400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3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keine der in den Buchstaben a) bis c) genannten Personen oder Unternehmen als Lieferanten beauftragen) / beauftragt habe(n).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xdr:colOff>
          <xdr:row>58</xdr:row>
          <xdr:rowOff>0</xdr:rowOff>
        </xdr:from>
        <xdr:to>
          <xdr:col>9</xdr:col>
          <xdr:colOff>676275</xdr:colOff>
          <xdr:row>60</xdr:row>
          <xdr:rowOff>152400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3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folgende der in den Buchstaben a) bis c) genannten Personen oder Unternehmen als Lieferanten beauf-tragen werde(n) /beauftragt habe(n).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295275</xdr:colOff>
          <xdr:row>64</xdr:row>
          <xdr:rowOff>76200</xdr:rowOff>
        </xdr:from>
        <xdr:to>
          <xdr:col>9</xdr:col>
          <xdr:colOff>9525</xdr:colOff>
          <xdr:row>66</xdr:row>
          <xdr:rowOff>76200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3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de-DE" sz="800" b="0" i="0" u="none" strike="noStrike" baseline="0">
                  <a:solidFill>
                    <a:srgbClr val="000000"/>
                  </a:solidFill>
                  <a:latin typeface="Segoe UI"/>
                  <a:cs typeface="Segoe UI"/>
                </a:rPr>
                <a:t>Der Vertrag wurde vor dem 9. April 2022 geschlossen und die Zusammenarbeit wird zum 10. Oktober 2022 beendet.</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4</xdr:col>
      <xdr:colOff>137582</xdr:colOff>
      <xdr:row>0</xdr:row>
      <xdr:rowOff>74084</xdr:rowOff>
    </xdr:from>
    <xdr:ext cx="1544937" cy="830036"/>
    <xdr:pic>
      <xdr:nvPicPr>
        <xdr:cNvPr id="2" name="Grafik 1">
          <a:extLst>
            <a:ext uri="{FF2B5EF4-FFF2-40B4-BE49-F238E27FC236}">
              <a16:creationId xmlns:a16="http://schemas.microsoft.com/office/drawing/2014/main" id="{4DDF3C91-6E4D-4FC4-B4E8-3F74979AB81A}"/>
            </a:ext>
          </a:extLst>
        </xdr:cNvPr>
        <xdr:cNvPicPr>
          <a:picLocks noChangeAspect="1"/>
        </xdr:cNvPicPr>
      </xdr:nvPicPr>
      <xdr:blipFill>
        <a:blip xmlns:r="http://schemas.openxmlformats.org/officeDocument/2006/relationships" r:embed="rId1"/>
        <a:stretch>
          <a:fillRect/>
        </a:stretch>
      </xdr:blipFill>
      <xdr:spPr>
        <a:xfrm>
          <a:off x="10625665" y="74084"/>
          <a:ext cx="1544937" cy="830036"/>
        </a:xfrm>
        <a:prstGeom prst="rect">
          <a:avLst/>
        </a:prstGeom>
      </xdr:spPr>
    </xdr:pic>
    <xdr:clientData/>
  </xdr:oneCellAnchor>
</xdr:wsDr>
</file>

<file path=xl/theme/theme1.xml><?xml version="1.0" encoding="utf-8"?>
<a:theme xmlns:a="http://schemas.openxmlformats.org/drawingml/2006/main" name="Larissa-Design">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Relationships xmlns="http://schemas.openxmlformats.org/package/2006/relationships"><Relationship Type="http://schemas.openxmlformats.org/officeDocument/2006/relationships/drawing" Target="/xl/drawings/drawing1.xml" Id="rId1"/></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sheetPr>
    <tabColor rgb="FF92D050"/>
    <outlinePr summaryBelow="1" summaryRight="1"/>
    <pageSetUpPr/>
  </sheetPr>
  <dimension ref="A2:J48"/>
  <sheetViews>
    <sheetView tabSelected="1" zoomScale="90" zoomScaleNormal="90" zoomScalePageLayoutView="110" workbookViewId="0">
      <selection activeCell="A28" sqref="A28:J28"/>
    </sheetView>
  </sheetViews>
  <sheetFormatPr baseColWidth="10" defaultRowHeight="12.75"/>
  <cols>
    <col width="17.5703125" customWidth="1" style="510" min="10" max="10"/>
  </cols>
  <sheetData>
    <row r="2" customFormat="1" s="99">
      <c r="A2" s="141" t="inlineStr">
        <is>
          <t>Vergabe von Dienstleistungen nach der VgV</t>
        </is>
      </c>
      <c r="B2" s="141" t="n"/>
      <c r="C2" s="141" t="n"/>
      <c r="D2" s="141" t="n"/>
      <c r="E2" s="141" t="n"/>
      <c r="F2" s="141" t="n"/>
      <c r="G2" s="141" t="n"/>
    </row>
    <row r="3" ht="24.75" customFormat="1" customHeight="1" s="99">
      <c r="A3" s="341">
        <f>Bewerbungsformblatt!A1</f>
        <v/>
      </c>
    </row>
    <row r="4" ht="21.75" customFormat="1" customHeight="1" s="99">
      <c r="A4" s="342">
        <f>Bewerbungsformblatt!A2</f>
        <v/>
      </c>
    </row>
    <row r="7" ht="43.5" customHeight="1" s="510">
      <c r="A7" s="344" t="inlineStr">
        <is>
          <t>Sehr geehrte Damen und Herren,
wir bitten Sie, für die Bewerbung Folgendes zu beachten:</t>
        </is>
      </c>
    </row>
    <row r="9">
      <c r="A9" s="343" t="inlineStr">
        <is>
          <t>I. Bewerbung/Teilnahmeantrag</t>
        </is>
      </c>
    </row>
    <row r="11" ht="39.75" customHeight="1" s="510">
      <c r="A11" s="345" t="inlineStr">
        <is>
          <t>1. Schlusstermin für den Eingang der Bewerbungsunterlagen auf der Vergabeplattform ist:
                                                                            12.03.2026/10:00</t>
        </is>
      </c>
    </row>
    <row r="13" ht="29.25" customHeight="1" s="510">
      <c r="A13" s="345" t="inlineStr">
        <is>
          <t>2. Der ausgefüllte Bewerbungsbogen ist elektronisch auf der Vergabeplattform als PDF einzustellen. Anlagen sind fortlaufend zu nummerieren. Änderungen und Erweiterungen in den vorgegebenen Texten sind nicht zulässig.</t>
        </is>
      </c>
    </row>
    <row r="14" ht="9" customHeight="1" s="510">
      <c r="A14" s="345" t="n"/>
      <c r="B14" s="345" t="n"/>
      <c r="C14" s="345" t="n"/>
      <c r="D14" s="345" t="n"/>
      <c r="E14" s="345" t="n"/>
      <c r="F14" s="345" t="n"/>
      <c r="G14" s="345" t="n"/>
      <c r="H14" s="345" t="n"/>
      <c r="I14" s="345" t="n"/>
      <c r="J14" s="345" t="n"/>
    </row>
    <row r="15" ht="78.75" customHeight="1" s="510">
      <c r="A15" s="345" t="inlineStr">
        <is>
          <t>Alternativ zum Ausfüllen der Punkte 3 - 11 des Bewerberbogens ist die Abgabe einer entsprechend ausgefüllten Einheitlichen Europäischen Eigenerklärung (EEE) zulässig. Die EEE kann nur die Angaben in den Punkten 3 - 11 des Bewerbungsformblatt ersetzen und ist als Anlage dem Bewerberbogen beizulegen. Der Bewerberbogen ist in allen übrigen Teilen auszufüllen und zusammen mit der ausgefüllten EEE und den ggf. geforderten Unterlagen auf die Vergabeplattform (www.deutsche-evergabe.de) hochzuladen; die zur EEE gehörenden Unterlagen sind entweder ebenfalls als Anlage hochzuladen oder gem. § 50 Abs. 3 Nr. 1 VgV elektronisch abrufbar unter einer anzugebenden Web-Adresse (URL) zur Verfügung zu stellen.</t>
        </is>
      </c>
    </row>
    <row r="16" ht="14.25" customHeight="1" s="510">
      <c r="A16" s="345" t="n"/>
      <c r="B16" s="345" t="n"/>
      <c r="C16" s="345" t="n"/>
      <c r="D16" s="345" t="n"/>
      <c r="E16" s="345" t="n"/>
      <c r="F16" s="345" t="n"/>
      <c r="G16" s="345" t="n"/>
      <c r="H16" s="345" t="n"/>
      <c r="I16" s="345" t="n"/>
      <c r="J16" s="345" t="n"/>
    </row>
    <row r="17" ht="18.75" customHeight="1" s="510">
      <c r="A17" s="346" t="inlineStr">
        <is>
          <t>3. Vorlage von Nachweisen, Angaben und Unterlagen:‎</t>
        </is>
      </c>
    </row>
    <row r="18" ht="110.25" customHeight="1" s="510">
      <c r="A18" s="345" t="inlineStr">
        <is>
          <t>a. Bewerber haben zum Nachweis der Eignung mit der Bewerbung den ‎beigefügten Bewerbungsbogen vollständig ausgefüllt vorzulegen und die ‎entsprechenden geforderten Nachweise beizufügen.‎ Der Auftraggeber hat gem. § 56 (2) VgV festgelegt, dass keine Unterlagen nachgefordert werden. Die Nichtvorlage führt zum Ausschluss aus dem Wettbewerb. Die nach Prüfung der Teilnahmeanträge ausgewählten Bewerber werden voraussichtlich in der KW 13/ 2026 zur Abgabe eines Honorarangebots sowie Einreichung eines Konzepts aufgefordert.
b. Die Bewerbererklärung ist von jedem Unternehmen (auch innerhalb einer ‎Bewerbergemeinschaft) und Subunternehmer/Nachunternehmer gesondert auszufüllen.‎</t>
        </is>
      </c>
    </row>
    <row r="19" ht="12" customHeight="1" s="510">
      <c r="A19" s="345" t="n"/>
      <c r="B19" s="345" t="n"/>
      <c r="C19" s="345" t="n"/>
      <c r="D19" s="345" t="n"/>
      <c r="E19" s="345" t="n"/>
      <c r="F19" s="345" t="n"/>
      <c r="G19" s="345" t="n"/>
      <c r="H19" s="345" t="n"/>
      <c r="I19" s="345" t="n"/>
      <c r="J19" s="345" t="n"/>
    </row>
    <row r="20" ht="67.5" customHeight="1" s="510">
      <c r="A20" s="345" t="inlineStr">
        <is>
          <t>4. Zulässige Einzelbewerbung oder Bietergemeinschaft, an die der Auftrag vergeben ‎werden kann: Einzelbewerber oder Arbeitsgemeinschaft (ARGE), ‎gesamtschuldnerisch haftend mit bevollmächtigtem Vertreter. 
Mehrfachbewerbungen einzelner Mitglieder einer ARGE sind unzulässig und ‎führen zur Nichtberücksichtigung sämtlicher betroffener ‎Bewerbergemeinschaften im weiteren Verfahren (dies gilt auch für ‎Subunternehmer).‎</t>
        </is>
      </c>
    </row>
    <row r="21" ht="12.75" customHeight="1" s="510">
      <c r="A21" s="399" t="n"/>
      <c r="B21" s="399" t="n"/>
      <c r="C21" s="399" t="n"/>
      <c r="D21" s="399" t="n"/>
      <c r="E21" s="399" t="n"/>
      <c r="F21" s="399" t="n"/>
      <c r="G21" s="399" t="n"/>
      <c r="H21" s="399" t="n"/>
      <c r="I21" s="399" t="n"/>
      <c r="J21" s="399" t="n"/>
    </row>
    <row r="22" ht="153" customHeight="1" s="510">
      <c r="A22" s="345" t="inlineStr">
        <is>
          <t>5. Die tatsächlichen Leistungserbringer (Personen) im Auftragsfall sind namentlich zu benennen und mit beruflicher Qualifikation anzugeben. Der Nachweis der fachlichen Qualifikation („Architekt") für den Inhaber, die Inhaberin oder mindestens einer Führungskraft des Unternehmens ist durch Nachweis der Eintragung in das Berufsregister bzw. nach Art. 2 Bau KaG und durch Angaben zur Berufserfahrung in Jahren zu führen. Juristische Personen müssen für die Durchführung der Aufgabe einen verantwortlichen Berufsangehörigen benennen. Zudem hat der Bewerber / die ARGE im Bewerbungsbogen die Beschäftigtenzahl des Unternehmens (bzgl. Architekten, Ingenieur und weiterer Mitarbeiter) anzugeben. Für die als Projektleiter/stv. Projktleiter vorgesehenen Personen ist der Nachweis für den Berufsabschluss in Fachrichtung Architektur (Dipl.-Ing. univ/TU/TH/FH, Bachelor, Master o. vglb.) zu erbringen. Für die für das konkrete Projekt für die Bauleitung vorgesehene verantwortliche Person ist der Nachweis für einen Berufsabschluss/Berufsbezeichnung als Ingenieur, Architekt, Meister, Techniker oder vergleichbar - jeweils Fachrichtung Bau - zu erbringen.
Es ist ferner anzugeben, welche Teile des Auftrags das Unternehmen unter Umständen als ‎Unteraufträge zu vergeben beabsichtigt.‎</t>
        </is>
      </c>
    </row>
    <row r="23">
      <c r="A23" s="399" t="n"/>
      <c r="B23" s="399" t="n"/>
      <c r="C23" s="399" t="n"/>
      <c r="D23" s="399" t="n"/>
      <c r="E23" s="399" t="n"/>
      <c r="F23" s="399" t="n"/>
      <c r="G23" s="399" t="n"/>
      <c r="H23" s="399" t="n"/>
      <c r="I23" s="399" t="n"/>
      <c r="J23" s="399" t="n"/>
    </row>
    <row r="24" ht="40.5" customHeight="1" s="510">
      <c r="A24" s="345" t="inlineStr">
        <is>
          <t>6. Die gelb hinterlegten Felder des Bewerbungsformblatts sind zwingend auszufüllen, die grau hinterlegten Felder bei Bedarf. Bewerbungen mit fehlenden Angaben bei Pflichtfeldern sowie fehlenden Nachweisen werden nicht berücksichtigt und führen in der Regel zum Ausschluss des Teilnahmeantrags. Änderungen, Abweichungen und Nichteinhaltungen sind zu kommentieren.</t>
        </is>
      </c>
    </row>
    <row r="25">
      <c r="A25" s="399" t="n"/>
      <c r="B25" s="399" t="n"/>
      <c r="C25" s="399" t="n"/>
      <c r="D25" s="399" t="n"/>
      <c r="E25" s="399" t="n"/>
      <c r="F25" s="399" t="n"/>
      <c r="G25" s="399" t="n"/>
      <c r="H25" s="399" t="n"/>
      <c r="I25" s="399" t="n"/>
      <c r="J25" s="399" t="n"/>
    </row>
    <row r="26" ht="111" customHeight="1" s="510">
      <c r="A26" s="345" t="inlineStr">
        <is>
          <t>7. Im Rahmen des Teilnahmewettbewerbs wird die Fachkunde, Leistungsfähigkeit und Zuverlässigkeit gemäß VgV § 42 - 51 bewertet. Die im Einzelnen maßgebenden Kriterien und Wichtungen für die Wertung der Bewerbungen entnehmen Sie bitte beiliegendem Bewertungsschema. Die Auswahl der Teilnehmer erfolgt nach formaler Prüfung der Vollständigkeit der ‎in den Vergabeunterlagen geforderten Erklärungen und Nachweise, auf der ‎Grundlage des einheitlichen Bewertungsschemas. Die maximal mögliche Gesamtpunktzahl beträgt 405 Punkte. 
Die Bewerber (3 – 5) mit der höchsten Bewertung werden zur Verhandlung ‎aufgefordert. Bei Punktgleichheit und wenn keine weitere Differenzierung mehr ‎möglich ist, entscheidet das Los über die Teilnahme am weiteren ‎Verhandlungsverfahren.‎</t>
        </is>
      </c>
    </row>
    <row r="27">
      <c r="A27" s="399" t="n"/>
      <c r="B27" s="399" t="n"/>
      <c r="C27" s="399" t="n"/>
      <c r="D27" s="399" t="n"/>
      <c r="E27" s="399" t="n"/>
      <c r="F27" s="399" t="n"/>
      <c r="G27" s="399" t="n"/>
      <c r="H27" s="399" t="n"/>
      <c r="I27" s="399" t="n"/>
      <c r="J27" s="399" t="n"/>
    </row>
    <row r="28" ht="93.75" customHeight="1" s="510">
      <c r="A28" s="345" t="inlineStr">
        <is>
          <t>8. Die Referenzangaben sind gemäß VgV § 46 (3) vorzulegen. Die Leistungsphase 8 muss abgeschlossen sein (Zeitraum 01.06.2019 - Veröffentlichungsdatum). Die Referenzen werden gemäß beigefügtem "Bewertungsschema Referenzen" bewertet und in der Gesamt-Auswertung berücksichtigt. Es sind 2 Referenzen vorzulegen (Formblatt "Büroreferenz" sowie ein Beiblatt mit detaillierter Projektbeschreibung gefordert). Es wird ein Mittelwert aus den einzelnen Referenz-Auswertungen gebildet. Das Gesamtpunkte-Ergebnis wird gemäß Bewertungsschema in die Gesamtauswertung übernommen (siehe Bewertungsschema Referenzen). Der Auftraggeber behält sich vor, bei den Bewerbern bzw. den Auftraggebern ‎Referenzauskünfte über die eingereichten Referenzen einzuholen. Bei ‎negativer Referenzauskunft wird dies im Rahmen der Bewertung ‎entsprechend berücksichtigt.</t>
        </is>
      </c>
    </row>
    <row r="29">
      <c r="A29" s="399" t="n"/>
      <c r="B29" s="399" t="n"/>
      <c r="C29" s="399" t="n"/>
      <c r="D29" s="399" t="n"/>
      <c r="E29" s="399" t="n"/>
      <c r="F29" s="399" t="n"/>
      <c r="G29" s="399" t="n"/>
      <c r="H29" s="399" t="n"/>
      <c r="I29" s="399" t="n"/>
      <c r="J29" s="399" t="n"/>
    </row>
    <row r="30" ht="42.75" customHeight="1" s="510">
      <c r="A30" s="345" t="inlineStr">
        <is>
          <t>9. Arbeitsgemeinschaften müssen je Mitglied einen Formularsatz einreichen. Arbeitsgemeinschaften müssen sich auch als solche bewerben und das vertretungsberechtigte Büro angeben. Die Ansprechpartner für Projektleiter und stellv. Projektleiter sind zu benennen. Eine Wertung der Referenzen der Teilnehmer der ARGE erfolgt nach Maßgabe unter Punkt 8.</t>
        </is>
      </c>
    </row>
    <row r="31">
      <c r="A31" s="399" t="n"/>
      <c r="B31" s="399" t="n"/>
      <c r="C31" s="399" t="n"/>
      <c r="D31" s="399" t="n"/>
      <c r="E31" s="399" t="n"/>
      <c r="F31" s="399" t="n"/>
      <c r="G31" s="399" t="n"/>
      <c r="H31" s="399" t="n"/>
      <c r="I31" s="399" t="n"/>
      <c r="J31" s="399" t="n"/>
    </row>
    <row r="32" ht="25.5" customHeight="1" s="510">
      <c r="A32" s="345" t="inlineStr">
        <is>
          <t>10. Die Bewerbungsunterlagen werden nicht zurückgegeben. Sonstige Unterlagen wie Firmenbroschüren o. ä. werden nicht berücksichtigt und sind nicht erwünscht.</t>
        </is>
      </c>
    </row>
    <row r="33">
      <c r="A33" s="399" t="n"/>
      <c r="B33" s="399" t="n"/>
      <c r="C33" s="399" t="n"/>
      <c r="D33" s="399" t="n"/>
      <c r="E33" s="399" t="n"/>
      <c r="F33" s="399" t="n"/>
      <c r="G33" s="399" t="n"/>
      <c r="H33" s="399" t="n"/>
      <c r="I33" s="399" t="n"/>
      <c r="J33" s="399" t="n"/>
    </row>
    <row r="34" ht="26.25" customHeight="1" s="510">
      <c r="A34" s="345" t="inlineStr">
        <is>
          <t>11. Die von Ihnen erbetenen personenbezogenen Angaben werden im Rahmen des ‎Vergabeverfahrens verarbeitet und gespeichert. Ihre Angaben sind ‎Voraussetzung für die Wertung Ihrer Bewerbung.</t>
        </is>
      </c>
    </row>
    <row r="35" ht="13.5" customHeight="1" s="510">
      <c r="A35" s="345" t="n"/>
      <c r="B35" s="345" t="n"/>
      <c r="C35" s="345" t="n"/>
      <c r="D35" s="345" t="n"/>
      <c r="E35" s="345" t="n"/>
      <c r="F35" s="345" t="n"/>
      <c r="G35" s="345" t="n"/>
      <c r="H35" s="345" t="n"/>
      <c r="I35" s="345" t="n"/>
      <c r="J35" s="345" t="n"/>
    </row>
    <row r="36" ht="40.5" customHeight="1" s="510">
      <c r="A36" s="345" t="inlineStr">
        <is>
          <t xml:space="preserve">12. Bei Vergabeverfahren ist das Formblatt „III.27 Erklärung Bezug Russland“  von allen Bieter auszufüllen (MS Az 3-4000-1-19-10 vom 19.04.2022). Bei Bietergemeinschaften ist die Erklärung von sämtlichen Mitgliedern auszufüllen. Angebote von Bietern, die die Erklärung trotz Aufforderung nicht oder nicht vollständig ausgefüllt abgeben, werden ausgeschlossen. </t>
        </is>
      </c>
    </row>
    <row r="37">
      <c r="A37" s="399" t="n"/>
      <c r="B37" s="399" t="n"/>
      <c r="C37" s="399" t="n"/>
      <c r="D37" s="399" t="n"/>
      <c r="E37" s="399" t="n"/>
      <c r="F37" s="399" t="n"/>
      <c r="G37" s="399" t="n"/>
      <c r="H37" s="399" t="n"/>
      <c r="I37" s="399" t="n"/>
      <c r="J37" s="399" t="n"/>
    </row>
    <row r="38">
      <c r="A38" s="343" t="inlineStr">
        <is>
          <t>II. Aufforderung zur Abgabe eines Angebots/Konzepts, Verhandlungsverfahren/Präsentation</t>
        </is>
      </c>
      <c r="J38" s="399" t="n"/>
    </row>
    <row r="39">
      <c r="A39" s="399" t="n"/>
      <c r="B39" s="399" t="n"/>
      <c r="C39" s="399" t="n"/>
      <c r="D39" s="399" t="n"/>
      <c r="E39" s="399" t="n"/>
      <c r="F39" s="399" t="n"/>
      <c r="G39" s="399" t="n"/>
      <c r="H39" s="399" t="n"/>
      <c r="I39" s="399" t="n"/>
      <c r="J39" s="399" t="n"/>
    </row>
    <row r="40" ht="88.5" customHeight="1" s="510">
      <c r="A40" s="345" t="inlineStr">
        <is>
          <t>1. Im Formblatt Honorarangebot sind durch den Bewerber die Parameter in den gelb hinterlegten Feldern zwingend anzugeben. Der Bieter/Bewerber hat dabei auch die aus seiner Sicht gerechtfertigten Teilleistungspunkte (%-Angaben) für die jeweiligen Leistungsphasen gemäß der HOAI anzugeben, welche aus seiner Sicht im Hinblick auf die in den Teilnahmeunterlagen gerechtfertigt erscheinen. Der Bieter hat darüber hinaus die Möglichkeit, auf das gem. den Parametern des Formblatts "Honorarangebot" zu ermittelnde Honorar einen Nachlass zu gewähren bzw. einen Aufschlag zu verlangen. Dieser ist in dem Feld "Bemerkungen" des Formblatts Honorarangebot in %-Sätzen anzugeben. Es sind klar und unmissverständlich die Honorar-Bestandteile (Grundleistungen und/oder Besondere Leistungen) zu bezeichnen, auf welche sich der Nachlass bzw. der Aufschlag bezieht.</t>
        </is>
      </c>
    </row>
    <row r="41">
      <c r="A41" s="399" t="n"/>
      <c r="B41" s="399" t="n"/>
      <c r="C41" s="399" t="n"/>
      <c r="D41" s="399" t="n"/>
      <c r="E41" s="399" t="n"/>
      <c r="F41" s="399" t="n"/>
      <c r="G41" s="399" t="n"/>
      <c r="H41" s="399" t="n"/>
      <c r="I41" s="399" t="n"/>
      <c r="J41" s="399" t="n"/>
    </row>
    <row r="42" ht="171" customHeight="1" s="510">
      <c r="A42" s="345" t="inlineStr">
        <is>
          <t>2. Die Bieter haben neben dem Honorarangebot ein Konzept Darstellung einzureichen, welches inhaltlich auf die Zuschlagskriterien eingehen soll (siehe Wertung Zuschlagskriterien; 1 - 4). Die einzureichenden Konzeptunterlagen werden von einem vom Auftraggeber bestimmten Gremium (Bekanntgabe mit Einladungsschreiben/Angebotsaufforderung) vorab bewertet. Im Nachgang wird den Bietern noch einmal die Gelegenheit gegeben, einzelne Schwerpunkte des Konzepts vor dem Gremium beim AG zu präsentieren. Die Präsentation muss dabei das Konzept nicht voll inhaltlich wiedergeben. Die Auswahl der Schwerpunkte bleibt dem Bieter überlassen und ist Bestandteil der Wertung (siehe Wertung Zuschlagskriterien). Da mit der Wertung der Präsentation die Qualifikation der maßgeblichen Projektbeteiligten (Projektleiter, stellvertretender Projektleiter und vorgesehener Bauleiter) gem. § 58 Abs. 2 Satz 2 Nr. 2 VgV bewertet werden soll, ist diese zwingend auch durch diese Personen zu halten. Die Aufteilung der Vortragsinhalte hat sich dabei an den voraussichtlichen Aufgaben im Projekt zu orientieren (z.B. Vortrag zu baulogistischen Themen durch den vorgesehenen Objektüberwacher, Vortrag zu Raum- und Funktionsaufteilung durch den planenden Projektleiter/stv. Projektleiter). Auf die Möglichkeit der Personenidentität zwischen Bauleiter und Projektleiter beziehungsweise Bauleiter und stellvertretendem Projektleiter wird hingewiesen. Bitte beachten Sie das Gewichtungsverhältnis von Konzept - Honorarangebot- und Prästentationstermin (gem. Wertung Zuschlagskriterien).</t>
        </is>
      </c>
    </row>
    <row r="43">
      <c r="A43" s="399" t="n"/>
      <c r="B43" s="399" t="n"/>
      <c r="C43" s="399" t="n"/>
      <c r="D43" s="399" t="n"/>
      <c r="E43" s="399" t="n"/>
      <c r="F43" s="399" t="n"/>
      <c r="G43" s="399" t="n"/>
      <c r="H43" s="399" t="n"/>
      <c r="I43" s="399" t="n"/>
      <c r="J43" s="399" t="n"/>
    </row>
    <row r="44" ht="40.5" customHeight="1" s="510">
      <c r="A44" s="345" t="inlineStr">
        <is>
          <t xml:space="preserve">3. Im Rahmen der Verhandlung wird den Bietern nochmal Gelegenheit gegeben, ihr Angebot noch einmal nachzubessern/anzupassen. Der AG behält sich jedoch vor, das Erstangebot zu beauftragen, ohne in Verhandlung zu treten. Die ggf. geforderte Einreichung des nachgebesserten Angebots hat über die Plattform zu erfolgen. </t>
        </is>
      </c>
    </row>
    <row r="45">
      <c r="A45" s="399" t="n"/>
      <c r="B45" s="399" t="n"/>
      <c r="C45" s="399" t="n"/>
      <c r="D45" s="399" t="n"/>
      <c r="E45" s="399" t="n"/>
      <c r="F45" s="399" t="n"/>
      <c r="G45" s="399" t="n"/>
      <c r="H45" s="399" t="n"/>
      <c r="I45" s="399" t="n"/>
      <c r="J45" s="399" t="n"/>
    </row>
    <row r="46">
      <c r="A46" s="343" t="inlineStr">
        <is>
          <t>III. Allgemein</t>
        </is>
      </c>
      <c r="J46" s="399" t="n"/>
    </row>
    <row r="47">
      <c r="A47" s="399" t="n"/>
      <c r="B47" s="399" t="n"/>
      <c r="C47" s="399" t="n"/>
      <c r="D47" s="399" t="n"/>
      <c r="E47" s="399" t="n"/>
      <c r="F47" s="399" t="n"/>
      <c r="G47" s="399" t="n"/>
      <c r="H47" s="399" t="n"/>
      <c r="I47" s="399" t="n"/>
      <c r="J47" s="399" t="n"/>
    </row>
    <row r="48" ht="41.25" customHeight="1" s="510">
      <c r="A48" s="345" t="inlineStr">
        <is>
          <t>Die KUGLER Ingenieurbüro GmbH ist durch die Auslober zur Durchführung des Verfahrens beauftragt und erteilt sämtliche Auskünfte im Namen des Auftraggebers über die genannten Kontaktstellen. Die zum Vergabeverfahren gestellten Fragen werden neutralisiert, beantwortet und über die Vergabeplattform zur Verfügung gestellt.</t>
        </is>
      </c>
    </row>
  </sheetData>
  <sheetProtection selectLockedCells="0" selectUnlockedCells="0" algorithmName="SHA-512" sheet="1" objects="1" insertRows="1" insertHyperlinks="1" autoFilter="1" scenarios="1" formatColumns="1" deleteColumns="1" insertColumns="1" pivotTables="1" deleteRows="1" formatCells="1" saltValue="C73/WbJkvG5cJPPN7jdfJg==" formatRows="1" sort="1" spinCount="100000" hashValue="UXP5pzJm4qB1ZiejNW5Djsa5dzcWe1qwlgr36/+x9g4kFrpVmLk2HSYJ82+Ht0vl2ompzaQYBXlYeg4wj1cEDA=="/>
  <mergeCells count="24">
    <mergeCell ref="A32:J32"/>
    <mergeCell ref="A22:J22"/>
    <mergeCell ref="A46:I46"/>
    <mergeCell ref="A17:J17"/>
    <mergeCell ref="A20:J20"/>
    <mergeCell ref="A3:I3"/>
    <mergeCell ref="A28:J28"/>
    <mergeCell ref="A13:J13"/>
    <mergeCell ref="A44:J44"/>
    <mergeCell ref="A40:J40"/>
    <mergeCell ref="A30:J30"/>
    <mergeCell ref="A34:J34"/>
    <mergeCell ref="A15:J15"/>
    <mergeCell ref="A48:J48"/>
    <mergeCell ref="A24:J24"/>
    <mergeCell ref="A4:I4"/>
    <mergeCell ref="A38:I38"/>
    <mergeCell ref="A11:J11"/>
    <mergeCell ref="A36:J36"/>
    <mergeCell ref="A9:I9"/>
    <mergeCell ref="A7:J7"/>
    <mergeCell ref="A18:J18"/>
    <mergeCell ref="A26:J26"/>
    <mergeCell ref="A42:J42"/>
  </mergeCells>
  <pageMargins left="0.7086614173228347" right="0.3149606299212598" top="0.7874015748031497" bottom="0.7874015748031497" header="0.3149606299212598" footer="0.3149606299212598"/>
  <pageSetup orientation="portrait" paperSize="9" scale="77"/>
  <rowBreaks count="1" manualBreakCount="1">
    <brk id="27" min="0" max="9" man="1"/>
  </rowBreaks>
</worksheet>
</file>

<file path=xl/worksheets/sheet2.xml><?xml version="1.0" encoding="utf-8"?>
<worksheet xmlns="http://schemas.openxmlformats.org/spreadsheetml/2006/main">
  <sheetPr>
    <tabColor rgb="FFFFFF00"/>
    <outlinePr summaryBelow="1" summaryRight="1"/>
    <pageSetUpPr/>
  </sheetPr>
  <dimension ref="A1:N225"/>
  <sheetViews>
    <sheetView view="pageBreakPreview" topLeftCell="A194" zoomScale="110" zoomScaleNormal="85" zoomScaleSheetLayoutView="110" workbookViewId="0">
      <selection activeCell="B194" sqref="B194:I194"/>
    </sheetView>
  </sheetViews>
  <sheetFormatPr baseColWidth="10" defaultColWidth="11.42578125" defaultRowHeight="12.75"/>
  <cols>
    <col width="5.7109375" customWidth="1" style="317" min="1" max="1"/>
    <col width="3.28515625" customWidth="1" style="273" min="2" max="2"/>
    <col width="11.7109375" customWidth="1" style="273" min="3" max="3"/>
    <col width="12.42578125" customWidth="1" style="273" min="4" max="4"/>
    <col width="26.5703125" customWidth="1" style="273" min="5" max="5"/>
    <col width="4.140625" customWidth="1" style="273" min="6" max="6"/>
    <col width="1.85546875" customWidth="1" style="273" min="7" max="7"/>
    <col width="3.7109375" customWidth="1" style="273" min="8" max="8"/>
    <col width="12" customWidth="1" style="273" min="9" max="9"/>
    <col width="58.140625" customWidth="1" style="197" min="10" max="10"/>
    <col width="11.42578125" customWidth="1" style="197" min="11" max="16384"/>
  </cols>
  <sheetData>
    <row r="1" ht="29.25" customHeight="1" s="510">
      <c r="A1" s="350" t="inlineStr">
        <is>
          <t>Verhandlungsverfahren - Mittagsbetreuung und Grundschulerweiterung Lenggries</t>
        </is>
      </c>
      <c r="J1" s="44" t="n"/>
    </row>
    <row r="2" ht="27.75" customHeight="1" s="510">
      <c r="A2" s="357" t="inlineStr">
        <is>
          <t>Leistungen der Objektplanung für Gebäude und Innenräume gem. §§ 33 ff HOAI - LPH 1 - 9</t>
        </is>
      </c>
      <c r="J2" s="45" t="n"/>
    </row>
    <row r="3" ht="24" customHeight="1" s="510">
      <c r="A3" s="364" t="n"/>
      <c r="B3" s="3" t="n"/>
      <c r="C3" s="3" t="n"/>
      <c r="D3" s="3" t="n"/>
      <c r="E3" s="3" t="n"/>
      <c r="F3" s="3" t="n"/>
      <c r="G3" s="2" t="n"/>
      <c r="H3" s="2" t="n"/>
      <c r="I3" s="2" t="n"/>
      <c r="J3" s="39" t="n"/>
    </row>
    <row r="4" ht="49.5" customFormat="1" customHeight="1" s="221">
      <c r="A4" s="224" t="inlineStr">
        <is>
          <t>Bewerber:</t>
        </is>
      </c>
      <c r="B4" s="225" t="n"/>
      <c r="C4" s="225" t="n"/>
      <c r="D4" s="225" t="n"/>
      <c r="E4" s="225" t="n"/>
      <c r="F4" s="225" t="n"/>
      <c r="G4" s="225" t="n"/>
      <c r="H4" s="225" t="n"/>
      <c r="I4" s="225" t="n"/>
      <c r="J4" s="573" t="inlineStr">
        <is>
          <t>Hansa Planungsgruppe GmbH</t>
        </is>
      </c>
    </row>
    <row r="5">
      <c r="A5" s="226" t="n"/>
      <c r="B5" s="1" t="n"/>
      <c r="C5" s="1" t="n"/>
      <c r="D5" s="1" t="n"/>
      <c r="E5" s="1" t="n"/>
      <c r="F5" s="1" t="n"/>
      <c r="G5" s="1" t="n"/>
      <c r="H5" s="1" t="n"/>
      <c r="I5" s="1" t="n"/>
      <c r="J5" s="574" t="n"/>
    </row>
    <row r="6" ht="17.25" customHeight="1" s="510">
      <c r="A6" s="227" t="n">
        <v>1</v>
      </c>
      <c r="B6" s="228" t="inlineStr">
        <is>
          <t xml:space="preserve">Bewerbung für </t>
        </is>
      </c>
      <c r="C6" s="228" t="n"/>
      <c r="D6" s="360">
        <f>A2</f>
        <v/>
      </c>
      <c r="E6" s="9" t="n"/>
      <c r="F6" s="9" t="n"/>
      <c r="G6" s="9" t="n"/>
      <c r="H6" s="9" t="n"/>
      <c r="I6" s="9" t="n"/>
      <c r="J6" s="29" t="n"/>
    </row>
    <row r="7" ht="21.75" customHeight="1" s="510">
      <c r="A7" s="229" t="n"/>
      <c r="B7" s="230" t="n"/>
      <c r="C7" s="230" t="n"/>
      <c r="J7" s="29" t="n"/>
    </row>
    <row r="8">
      <c r="A8" s="229" t="n"/>
      <c r="B8" s="230" t="n"/>
      <c r="C8" s="230" t="n"/>
      <c r="D8" s="230" t="n"/>
      <c r="E8" s="230" t="n"/>
      <c r="F8" s="230" t="n"/>
      <c r="G8" s="230" t="n"/>
      <c r="H8" s="230" t="n"/>
      <c r="I8" s="230" t="n"/>
      <c r="J8" s="29" t="n"/>
    </row>
    <row r="9" ht="24.75" customFormat="1" customHeight="1" s="222">
      <c r="A9" s="229" t="inlineStr">
        <is>
          <t>2</t>
        </is>
      </c>
      <c r="B9" s="230" t="inlineStr">
        <is>
          <t>Name des Büros / Unternehmens:</t>
        </is>
      </c>
      <c r="C9" s="230" t="n"/>
      <c r="D9" s="230" t="n"/>
      <c r="E9" s="231" t="n"/>
      <c r="F9" s="231" t="n"/>
      <c r="G9" s="231" t="n"/>
      <c r="H9" s="231" t="n"/>
      <c r="I9" s="231" t="n"/>
      <c r="J9" s="53" t="inlineStr">
        <is>
          <t>Hansa Planungsgruppe GmbH</t>
        </is>
      </c>
    </row>
    <row r="10" ht="6" customFormat="1" customHeight="1" s="222">
      <c r="A10" s="229" t="n"/>
      <c r="B10" s="232" t="n"/>
      <c r="C10" s="230" t="n"/>
      <c r="D10" s="230" t="n"/>
      <c r="E10" s="350" t="n"/>
      <c r="F10" s="350" t="n"/>
      <c r="G10" s="350" t="n"/>
      <c r="H10" s="350" t="n"/>
      <c r="I10" s="350" t="n"/>
      <c r="J10" s="29" t="n"/>
    </row>
    <row r="11" ht="12.75" customFormat="1" customHeight="1" s="222">
      <c r="A11" s="229" t="inlineStr">
        <is>
          <t>2.1</t>
        </is>
      </c>
      <c r="B11" s="232" t="inlineStr">
        <is>
          <t>Straße, Hausnummer</t>
        </is>
      </c>
      <c r="C11" s="230" t="n"/>
      <c r="D11" s="230" t="n"/>
      <c r="E11" s="231" t="n"/>
      <c r="F11" s="231" t="n"/>
      <c r="G11" s="231" t="n"/>
      <c r="H11" s="231" t="n"/>
      <c r="I11" s="231" t="n"/>
      <c r="J11" s="53" t="inlineStr">
        <is>
          <t>Hammerbrookstraße 74</t>
        </is>
      </c>
    </row>
    <row r="12" ht="6" customFormat="1" customHeight="1" s="222">
      <c r="A12" s="229" t="n"/>
      <c r="B12" s="232" t="n"/>
      <c r="C12" s="230" t="n"/>
      <c r="D12" s="230" t="n"/>
      <c r="E12" s="230" t="n"/>
      <c r="F12" s="230" t="n"/>
      <c r="G12" s="230" t="n"/>
      <c r="H12" s="230" t="n"/>
      <c r="I12" s="230" t="n"/>
      <c r="J12" s="29" t="n"/>
    </row>
    <row r="13" ht="12.75" customFormat="1" customHeight="1" s="222">
      <c r="A13" s="229" t="n"/>
      <c r="B13" s="232" t="inlineStr">
        <is>
          <t>PLZ, Ort</t>
        </is>
      </c>
      <c r="C13" s="230" t="n"/>
      <c r="D13" s="230" t="n"/>
      <c r="E13" s="231" t="n"/>
      <c r="F13" s="231" t="n"/>
      <c r="G13" s="231" t="n"/>
      <c r="H13" s="231" t="n"/>
      <c r="I13" s="231" t="n"/>
      <c r="J13" s="53" t="inlineStr">
        <is>
          <t>20097 Hamburg</t>
        </is>
      </c>
    </row>
    <row r="14" ht="6" customFormat="1" customHeight="1" s="222">
      <c r="A14" s="229" t="n"/>
      <c r="B14" s="232" t="n"/>
      <c r="C14" s="230" t="n"/>
      <c r="D14" s="230" t="n"/>
      <c r="E14" s="230" t="n"/>
      <c r="F14" s="230" t="n"/>
      <c r="G14" s="230" t="n"/>
      <c r="H14" s="230" t="n"/>
      <c r="I14" s="230" t="n"/>
      <c r="J14" s="29" t="n"/>
    </row>
    <row r="15" customFormat="1" s="222">
      <c r="A15" s="229" t="inlineStr">
        <is>
          <t>2.2</t>
        </is>
      </c>
      <c r="B15" s="232" t="inlineStr">
        <is>
          <t>Telefon:</t>
        </is>
      </c>
      <c r="C15" s="232" t="n"/>
      <c r="D15" s="232" t="n"/>
      <c r="E15" s="231" t="n"/>
      <c r="F15" s="231" t="n"/>
      <c r="G15" s="231" t="n"/>
      <c r="H15" s="231" t="n"/>
      <c r="I15" s="231" t="n"/>
      <c r="J15" s="38" t="inlineStr">
        <is>
          <t>+49 40 5487 2310</t>
        </is>
      </c>
    </row>
    <row r="16" ht="6" customFormat="1" customHeight="1" s="222">
      <c r="A16" s="229" t="n"/>
      <c r="B16" s="232" t="n"/>
      <c r="C16" s="232" t="n"/>
      <c r="D16" s="232" t="n"/>
      <c r="E16" s="350" t="n"/>
      <c r="F16" s="350" t="n"/>
      <c r="G16" s="350" t="n"/>
      <c r="H16" s="350" t="n"/>
      <c r="I16" s="350" t="n"/>
      <c r="J16" s="29" t="n"/>
    </row>
    <row r="17" customFormat="1" s="222">
      <c r="A17" s="229" t="inlineStr">
        <is>
          <t>2.3</t>
        </is>
      </c>
      <c r="B17" s="232" t="inlineStr">
        <is>
          <t>Fax:</t>
        </is>
      </c>
      <c r="C17" s="232" t="n"/>
      <c r="D17" s="232" t="n"/>
      <c r="E17" s="231" t="n"/>
      <c r="F17" s="231" t="n"/>
      <c r="G17" s="231" t="n"/>
      <c r="H17" s="231" t="n"/>
      <c r="I17" s="231" t="n"/>
      <c r="J17" s="37" t="n"/>
    </row>
    <row r="18" ht="6" customFormat="1" customHeight="1" s="222">
      <c r="A18" s="229" t="n"/>
      <c r="B18" s="232" t="n"/>
      <c r="C18" s="232" t="n"/>
      <c r="D18" s="232" t="n"/>
      <c r="E18" s="350" t="n"/>
      <c r="F18" s="350" t="n"/>
      <c r="G18" s="350" t="n"/>
      <c r="H18" s="350" t="n"/>
      <c r="I18" s="350" t="n"/>
      <c r="J18" s="29" t="n"/>
    </row>
    <row r="19" customFormat="1" s="222">
      <c r="A19" s="229" t="inlineStr">
        <is>
          <t>2.4</t>
        </is>
      </c>
      <c r="B19" s="232" t="inlineStr">
        <is>
          <t>E-Mail:</t>
        </is>
      </c>
      <c r="C19" s="232" t="n"/>
      <c r="D19" s="232" t="n"/>
      <c r="E19" s="231" t="n"/>
      <c r="F19" s="231" t="n"/>
      <c r="G19" s="231" t="n"/>
      <c r="H19" s="231" t="n"/>
      <c r="I19" s="231" t="n"/>
      <c r="J19" s="53" t="inlineStr">
        <is>
          <t>vergabe@hansa-planungsgruppe.de</t>
        </is>
      </c>
    </row>
    <row r="20" ht="6" customFormat="1" customHeight="1" s="222">
      <c r="A20" s="229" t="n"/>
      <c r="B20" s="232" t="n"/>
      <c r="C20" s="232" t="n"/>
      <c r="D20" s="232" t="n"/>
      <c r="E20" s="350" t="n"/>
      <c r="F20" s="350" t="n"/>
      <c r="G20" s="350" t="n"/>
      <c r="H20" s="350" t="n"/>
      <c r="I20" s="350" t="n"/>
      <c r="J20" s="29" t="n"/>
    </row>
    <row r="21" customFormat="1" s="222">
      <c r="A21" s="229" t="inlineStr">
        <is>
          <t>2.5</t>
        </is>
      </c>
      <c r="B21" s="232" t="inlineStr">
        <is>
          <t>Ansprechpartner:</t>
        </is>
      </c>
      <c r="C21" s="232" t="n"/>
      <c r="D21" s="232" t="n"/>
      <c r="E21" s="231" t="n"/>
      <c r="F21" s="231" t="n"/>
      <c r="G21" s="231" t="n"/>
      <c r="H21" s="231" t="n"/>
      <c r="I21" s="231" t="n"/>
      <c r="J21" s="53" t="inlineStr">
        <is>
          <t>Dipl.-Ing. Anna-Lena Krüger</t>
        </is>
      </c>
    </row>
    <row r="22" ht="6" customFormat="1" customHeight="1" s="222">
      <c r="A22" s="229" t="n"/>
      <c r="B22" s="232" t="n"/>
      <c r="C22" s="232" t="n"/>
      <c r="D22" s="232" t="n"/>
      <c r="E22" s="350" t="n"/>
      <c r="F22" s="350" t="n"/>
      <c r="G22" s="350" t="n"/>
      <c r="H22" s="350" t="n"/>
      <c r="I22" s="350" t="n"/>
      <c r="J22" s="29" t="n"/>
    </row>
    <row r="23" customFormat="1" s="222">
      <c r="A23" s="229" t="inlineStr">
        <is>
          <t>2.6</t>
        </is>
      </c>
      <c r="B23" s="232" t="inlineStr">
        <is>
          <t>Gründungsjahr des Büros:</t>
        </is>
      </c>
      <c r="C23" s="232" t="n"/>
      <c r="D23" s="232" t="n"/>
      <c r="E23" s="231" t="n"/>
      <c r="F23" s="231" t="n"/>
      <c r="G23" s="231" t="n"/>
      <c r="H23" s="231" t="n"/>
      <c r="I23" s="231" t="n"/>
      <c r="J23" s="53" t="n"/>
    </row>
    <row r="24" ht="6" customFormat="1" customHeight="1" s="222">
      <c r="A24" s="229" t="n"/>
      <c r="B24" s="232" t="n"/>
      <c r="C24" s="232" t="n"/>
      <c r="D24" s="232" t="n"/>
      <c r="E24" s="350" t="n"/>
      <c r="F24" s="350" t="n"/>
      <c r="G24" s="350" t="n"/>
      <c r="H24" s="350" t="n"/>
      <c r="I24" s="350" t="n"/>
      <c r="J24" s="29" t="n"/>
    </row>
    <row r="25" customFormat="1" s="222">
      <c r="A25" s="229" t="inlineStr">
        <is>
          <t>2.7</t>
        </is>
      </c>
      <c r="B25" s="232" t="inlineStr">
        <is>
          <t>Weitere Niederlassungen:</t>
        </is>
      </c>
      <c r="C25" s="232" t="n"/>
      <c r="D25" s="232" t="n"/>
      <c r="E25" s="231" t="n"/>
      <c r="F25" s="231" t="n"/>
      <c r="G25" s="231" t="n"/>
      <c r="H25" s="231" t="n"/>
      <c r="I25" s="231" t="n"/>
      <c r="J25" s="376" t="n"/>
    </row>
    <row r="26" customFormat="1" s="222">
      <c r="A26" s="229" t="n"/>
      <c r="B26" s="232" t="n"/>
      <c r="C26" s="232" t="n"/>
      <c r="D26" s="232" t="n"/>
      <c r="E26" s="231" t="n"/>
      <c r="F26" s="231" t="n"/>
      <c r="G26" s="231" t="n"/>
      <c r="H26" s="231" t="n"/>
      <c r="I26" s="231" t="n"/>
      <c r="J26" s="36" t="n"/>
    </row>
    <row r="27" ht="30.75" customFormat="1" customHeight="1" s="222">
      <c r="A27" s="229" t="inlineStr">
        <is>
          <t>2.8</t>
        </is>
      </c>
      <c r="B27" s="349" t="inlineStr">
        <is>
          <t>Eigenerklärung Bezug Russland (Hierzu ist das ausgefüllte Beiblatt 'Eigenerklärung Bezug Russland' beizulegen):</t>
        </is>
      </c>
      <c r="F27" s="231" t="n"/>
      <c r="G27" s="231" t="n"/>
      <c r="H27" s="231" t="n"/>
      <c r="I27" s="62" t="inlineStr">
        <is>
          <t>Anlage Nr.</t>
        </is>
      </c>
      <c r="J27" s="53" t="n"/>
    </row>
    <row r="28" ht="6" customFormat="1" customHeight="1" s="222">
      <c r="A28" s="229" t="n"/>
      <c r="B28" s="380" t="n"/>
      <c r="C28" s="380" t="n"/>
      <c r="D28" s="380" t="n"/>
      <c r="E28" s="350" t="n"/>
      <c r="F28" s="350" t="n"/>
      <c r="G28" s="350" t="n"/>
      <c r="H28" s="350" t="n"/>
      <c r="I28" s="350" t="n"/>
      <c r="J28" s="65" t="n"/>
    </row>
    <row r="29" ht="79.5" customFormat="1" customHeight="1" s="222">
      <c r="A29" s="229" t="inlineStr">
        <is>
          <t>2.9</t>
        </is>
      </c>
      <c r="B29" s="349" t="inlineStr">
        <is>
          <t xml:space="preserve">Angaben zur Verwendung einer Einheitlichen Europäischen Eigenerklärung (EEE) (§50 VgV): Das Unternehmen hat eine Einheitliche Europäische Eigenerklärung (EEE) als vorläufigen Nachweis ausgefüllt und als Anlage hochgeladen.                         </t>
        </is>
      </c>
      <c r="F29" s="234" t="n"/>
      <c r="G29" s="234" t="n"/>
      <c r="H29" s="234" t="n"/>
      <c r="I29" s="234" t="n"/>
      <c r="J29" s="64" t="inlineStr">
        <is>
          <t>ja:                                                                          nein:
Falls "ja", bitte als Anlage zum Bewerberbogen hochladen. Falls eine bereits bei einer früheren Auftragsvergabe verwendete Einheitliche Europäische Eigenerklärung wiederverwendet wird, muss das Unternehmen bestätigen, dass die darin enthaltenen Informationen weiterhin zutreffend sind.</t>
        </is>
      </c>
    </row>
    <row r="30" ht="7.5" customFormat="1" customHeight="1" s="222">
      <c r="A30" s="235" t="n"/>
      <c r="B30" s="236" t="n"/>
      <c r="C30" s="236" t="n"/>
      <c r="D30" s="236" t="n"/>
      <c r="E30" s="236" t="n"/>
      <c r="F30" s="234" t="n"/>
      <c r="G30" s="234" t="n"/>
      <c r="H30" s="234" t="n"/>
      <c r="I30" s="234" t="n"/>
      <c r="J30" s="151" t="n"/>
    </row>
    <row r="31" customFormat="1" s="222">
      <c r="A31" s="237" t="n"/>
      <c r="B31" s="238" t="n"/>
      <c r="C31" s="239" t="n"/>
      <c r="D31" s="239" t="n"/>
      <c r="E31" s="240" t="n"/>
      <c r="F31" s="240" t="n"/>
      <c r="G31" s="240" t="n"/>
      <c r="H31" s="240" t="n"/>
      <c r="I31" s="62" t="inlineStr">
        <is>
          <t>Anlage Nr.</t>
        </is>
      </c>
      <c r="J31" s="150" t="n"/>
    </row>
    <row r="32" customFormat="1" s="222">
      <c r="A32" s="241" t="n"/>
      <c r="B32" s="2" t="n"/>
      <c r="C32" s="242" t="n"/>
      <c r="D32" s="242" t="n"/>
      <c r="E32" s="243" t="n"/>
      <c r="F32" s="243" t="n"/>
      <c r="G32" s="243" t="n"/>
      <c r="H32" s="243" t="n"/>
      <c r="I32" s="243" t="n"/>
      <c r="J32" s="29" t="n"/>
    </row>
    <row r="33" ht="8.25" customFormat="1" customHeight="1" s="222">
      <c r="A33" s="244" t="n"/>
      <c r="B33" s="245" t="n"/>
      <c r="C33" s="246" t="n"/>
      <c r="D33" s="246" t="n"/>
      <c r="E33" s="247" t="n"/>
      <c r="F33" s="247" t="n"/>
      <c r="G33" s="247" t="n"/>
      <c r="H33" s="247" t="n"/>
      <c r="I33" s="247" t="n"/>
      <c r="J33" s="30" t="n"/>
    </row>
    <row r="34" ht="15" customFormat="1" customHeight="1" s="222">
      <c r="A34" s="241" t="inlineStr">
        <is>
          <t>3</t>
        </is>
      </c>
      <c r="B34" s="343" t="inlineStr">
        <is>
          <t>Zertifikate</t>
        </is>
      </c>
      <c r="E34" s="243" t="n"/>
      <c r="F34" s="243" t="n"/>
      <c r="G34" s="243" t="n"/>
      <c r="H34" s="243" t="n"/>
      <c r="I34" s="243" t="n"/>
      <c r="J34" s="29" t="n"/>
    </row>
    <row r="35" customFormat="1" s="222">
      <c r="A35" s="248" t="n"/>
      <c r="B35" s="242" t="n"/>
      <c r="C35" s="2" t="n"/>
      <c r="D35" s="2" t="n"/>
      <c r="E35" s="242" t="n"/>
      <c r="F35" s="249" t="n"/>
      <c r="G35" s="249" t="n"/>
      <c r="H35" s="249" t="n"/>
      <c r="I35" s="249" t="n"/>
      <c r="J35" s="29" t="n"/>
    </row>
    <row r="36" ht="15.75" customFormat="1" customHeight="1" s="222">
      <c r="A36" s="363" t="inlineStr">
        <is>
          <t>3.1</t>
        </is>
      </c>
      <c r="B36" s="349" t="inlineStr">
        <is>
          <t>Zertifikate des Unternehmens</t>
        </is>
      </c>
      <c r="J36" s="105" t="n"/>
    </row>
    <row r="37" ht="6" customFormat="1" customHeight="1" s="222">
      <c r="A37" s="251" t="n"/>
      <c r="B37" s="2" t="n"/>
      <c r="C37" s="3" t="n"/>
      <c r="D37" s="3" t="n"/>
      <c r="E37" s="252" t="n"/>
      <c r="F37" s="252" t="n"/>
      <c r="G37" s="252" t="n"/>
      <c r="H37" s="252" t="n"/>
      <c r="I37" s="252" t="n"/>
      <c r="J37" s="29" t="n"/>
    </row>
    <row r="38" ht="30" customFormat="1" customHeight="1" s="222">
      <c r="A38" s="253" t="inlineStr">
        <is>
          <t>a)</t>
        </is>
      </c>
      <c r="B38" s="345" t="inlineStr">
        <is>
          <t>Eintragung Inhaber/Führungskraft in das Berufsregister</t>
        </is>
      </c>
      <c r="F38" s="2" t="n"/>
      <c r="G38" s="351" t="n"/>
      <c r="I38" s="242" t="inlineStr">
        <is>
          <t>Anlage Nr.</t>
        </is>
      </c>
      <c r="J38" s="97" t="n"/>
    </row>
    <row r="39" ht="6" customFormat="1" customHeight="1" s="222">
      <c r="A39" s="255" t="n"/>
      <c r="B39" s="2" t="n"/>
      <c r="C39" s="3" t="n"/>
      <c r="D39" s="3" t="n"/>
      <c r="E39" s="3" t="n"/>
      <c r="F39" s="2" t="n"/>
      <c r="G39" s="351" t="n"/>
      <c r="H39" s="351" t="n"/>
      <c r="I39" s="3" t="n"/>
      <c r="J39" s="29" t="n"/>
    </row>
    <row r="40" customFormat="1" s="222">
      <c r="A40" s="253" t="inlineStr">
        <is>
          <t>b)</t>
        </is>
      </c>
      <c r="B40" s="345" t="inlineStr">
        <is>
          <t xml:space="preserve">Studiennachweise und Bescheinigungen der beruflichen Befähigung </t>
        </is>
      </c>
      <c r="F40" s="2" t="n"/>
      <c r="G40" s="351" t="n"/>
      <c r="I40" s="242" t="n"/>
      <c r="J40" s="29" t="n"/>
    </row>
    <row r="41" customFormat="1" s="222">
      <c r="A41" s="255" t="n"/>
      <c r="B41" s="345" t="inlineStr">
        <is>
          <t>Inhaber/Führungskraft</t>
        </is>
      </c>
      <c r="F41" s="2" t="n"/>
      <c r="G41" s="351" t="n"/>
      <c r="H41" s="351" t="n"/>
      <c r="I41" s="242" t="inlineStr">
        <is>
          <t>Anlage Nr.</t>
        </is>
      </c>
      <c r="J41" s="97" t="n"/>
    </row>
    <row r="42" ht="6" customFormat="1" customHeight="1" s="222">
      <c r="A42" s="255" t="n"/>
      <c r="B42" s="2" t="n"/>
      <c r="C42" s="3" t="n"/>
      <c r="D42" s="3" t="n"/>
      <c r="E42" s="3" t="n"/>
      <c r="F42" s="2" t="n"/>
      <c r="G42" s="351" t="n"/>
      <c r="H42" s="351" t="n"/>
      <c r="I42" s="3" t="n"/>
      <c r="J42" s="29" t="n"/>
    </row>
    <row r="43" ht="28.5" customHeight="1" s="510">
      <c r="A43" s="363" t="inlineStr">
        <is>
          <t>3.2</t>
        </is>
      </c>
      <c r="B43" s="349" t="inlineStr">
        <is>
          <t>Ist das Unternehmen in den einschlägigen Berufs- oder Handelsregistern seines Niederlassungsmitgliedstaates eingetragen?</t>
        </is>
      </c>
      <c r="F43" s="256" t="n"/>
      <c r="G43" s="354" t="n"/>
      <c r="I43" s="238" t="n"/>
      <c r="J43" s="142" t="inlineStr">
        <is>
          <t>ja</t>
        </is>
      </c>
    </row>
    <row r="44" ht="25.5" customHeight="1" s="510">
      <c r="A44" s="258" t="n"/>
      <c r="B44" s="238" t="n"/>
      <c r="C44" s="256" t="n"/>
      <c r="D44" s="256" t="n"/>
      <c r="E44" s="256" t="n"/>
      <c r="F44" s="256" t="n"/>
      <c r="G44" s="354" t="n"/>
      <c r="H44" s="354" t="n"/>
      <c r="I44" s="238" t="n"/>
      <c r="J44" s="64" t="inlineStr">
        <is>
          <t xml:space="preserve">Falls "ja", ist ein aktueller Auszug (nicht älter als 6 Monate) in Kopie beizufügen </t>
        </is>
      </c>
    </row>
    <row r="45">
      <c r="A45" s="258" t="n"/>
      <c r="B45" s="238" t="n"/>
      <c r="C45" s="256" t="n"/>
      <c r="D45" s="256" t="n"/>
      <c r="E45" s="256" t="n"/>
      <c r="F45" s="256" t="n"/>
      <c r="G45" s="354" t="n"/>
      <c r="H45" s="354" t="n"/>
      <c r="I45" s="238" t="n"/>
      <c r="J45" s="151" t="n"/>
    </row>
    <row r="46">
      <c r="A46" s="237" t="n"/>
      <c r="B46" s="355" t="n"/>
      <c r="F46" s="256" t="n"/>
      <c r="G46" s="354" t="n"/>
      <c r="I46" s="62" t="inlineStr">
        <is>
          <t>Anlage Nr.</t>
        </is>
      </c>
      <c r="J46" s="150" t="n"/>
    </row>
    <row r="47" ht="15.75" customHeight="1" s="510">
      <c r="A47" s="251" t="n"/>
      <c r="B47" s="2" t="n"/>
      <c r="C47" s="3" t="n"/>
      <c r="D47" s="3" t="n"/>
      <c r="E47" s="3" t="n"/>
      <c r="F47" s="3" t="n"/>
      <c r="G47" s="351" t="n"/>
      <c r="H47" s="351" t="n"/>
      <c r="I47" s="2" t="n"/>
      <c r="J47" s="29" t="n"/>
    </row>
    <row r="48" ht="15.75" customHeight="1" s="510">
      <c r="A48" s="259" t="n"/>
      <c r="B48" s="260" t="n"/>
      <c r="C48" s="260" t="n"/>
      <c r="D48" s="260" t="n"/>
      <c r="E48" s="260" t="n"/>
      <c r="F48" s="260" t="n"/>
      <c r="G48" s="261" t="n"/>
      <c r="H48" s="261" t="n"/>
      <c r="I48" s="245" t="n"/>
      <c r="J48" s="30" t="n"/>
    </row>
    <row r="49">
      <c r="A49" s="363" t="inlineStr">
        <is>
          <t>4</t>
        </is>
      </c>
      <c r="B49" s="359" t="inlineStr">
        <is>
          <t>Liegt eine Arbeitsgemeinschaft vor?</t>
        </is>
      </c>
      <c r="F49" s="359" t="n"/>
      <c r="G49" s="359" t="n"/>
      <c r="H49" s="359" t="n"/>
      <c r="I49" s="359" t="n"/>
      <c r="J49" s="64" t="inlineStr">
        <is>
          <t>nein</t>
        </is>
      </c>
    </row>
    <row r="50" ht="15.75" customHeight="1" s="510">
      <c r="A50" s="363" t="n"/>
      <c r="B50" s="349" t="n"/>
      <c r="C50" s="349" t="n"/>
      <c r="D50" s="349" t="n"/>
      <c r="E50" s="353" t="inlineStr">
        <is>
          <t>Falls "ja" Angabe des vertretungsberechtigten Büro</t>
        </is>
      </c>
      <c r="I50" s="511" t="n"/>
      <c r="J50" s="64" t="n"/>
    </row>
    <row r="51" ht="15.75" customHeight="1" s="510">
      <c r="A51" s="363" t="n"/>
      <c r="B51" s="349" t="n"/>
      <c r="C51" s="349" t="n"/>
      <c r="D51" s="349" t="n"/>
      <c r="E51" s="352" t="n"/>
      <c r="F51" s="352" t="n"/>
      <c r="G51" s="352" t="n"/>
      <c r="H51" s="352" t="n"/>
      <c r="I51" s="352" t="n"/>
      <c r="J51" s="65" t="n"/>
    </row>
    <row r="52" ht="19.5" customHeight="1" s="510">
      <c r="A52" s="363" t="inlineStr">
        <is>
          <t>4.1</t>
        </is>
      </c>
      <c r="B52" s="359" t="inlineStr">
        <is>
          <t>Angabe zum Leistungsanteil des unter Nr. 2 genannten Büros  bei Arbeitsgemeinschaften (Leistungen nach HOAI):</t>
        </is>
      </c>
      <c r="F52" s="263" t="n"/>
      <c r="G52" s="263" t="n"/>
      <c r="H52" s="263" t="n"/>
      <c r="I52" s="263" t="n"/>
      <c r="J52" s="375" t="n"/>
    </row>
    <row r="53" ht="15.75" customHeight="1" s="510">
      <c r="A53" s="363" t="n"/>
      <c r="F53" s="263" t="n"/>
      <c r="G53" s="263" t="n"/>
      <c r="H53" s="263" t="n"/>
      <c r="I53" s="263" t="n"/>
      <c r="J53" s="574" t="n"/>
    </row>
    <row r="54">
      <c r="A54" s="264" t="n"/>
      <c r="B54" s="359" t="n"/>
      <c r="C54" s="359" t="n"/>
      <c r="D54" s="359" t="n"/>
      <c r="E54" s="359" t="n"/>
      <c r="F54" s="359" t="n"/>
      <c r="G54" s="359" t="n"/>
      <c r="H54" s="359" t="n"/>
      <c r="I54" s="359" t="n"/>
      <c r="J54" s="29" t="n"/>
    </row>
    <row r="55" ht="39" customHeight="1" s="510">
      <c r="A55" s="363" t="inlineStr">
        <is>
          <t>4.2</t>
        </is>
      </c>
      <c r="B55" s="359" t="inlineStr">
        <is>
          <t>Bei Arbeitsgemeinschaften sind die Formulare je ARGE-Partner getrennt auszufüllen.</t>
        </is>
      </c>
      <c r="F55" s="359" t="n"/>
      <c r="G55" s="359" t="n"/>
      <c r="H55" s="359" t="n"/>
      <c r="I55" s="359" t="n"/>
      <c r="J55" s="29" t="n"/>
    </row>
    <row r="56" ht="12.75" customHeight="1" s="510">
      <c r="A56" s="363" t="n"/>
      <c r="B56" s="359" t="inlineStr">
        <is>
          <t>Es ist jedoch gesamt je nur ein Projektleiter (9.1) bzw. stellv. Projektleiter (9.2) zu benennen.</t>
        </is>
      </c>
      <c r="F56" s="265" t="n"/>
      <c r="G56" s="265" t="n"/>
      <c r="H56" s="265" t="n"/>
      <c r="I56" s="265" t="n"/>
      <c r="J56" s="29" t="n"/>
    </row>
    <row r="57" ht="12.75" customHeight="1" s="510">
      <c r="A57" s="264" t="n"/>
      <c r="B57" s="263" t="n"/>
      <c r="C57" s="359" t="n"/>
      <c r="D57" s="359" t="n"/>
      <c r="E57" s="359" t="n"/>
      <c r="F57" s="359" t="n"/>
      <c r="G57" s="359" t="n"/>
      <c r="H57" s="359" t="n"/>
      <c r="I57" s="359" t="n"/>
      <c r="J57" s="29" t="n"/>
    </row>
    <row r="58" ht="45" customHeight="1" s="510">
      <c r="A58" s="363" t="inlineStr">
        <is>
          <t>4.3</t>
        </is>
      </c>
      <c r="B58" s="350" t="inlineStr">
        <is>
          <t>Bei Arbeitsgemeinschaften ist eine entsprechende Erklärung der gesamtschuldnerischen Haftung mit Benennung des Ansprechpartners vorzulegen.</t>
        </is>
      </c>
      <c r="F58" s="265" t="n"/>
      <c r="G58" s="265" t="n"/>
      <c r="H58" s="265" t="n"/>
      <c r="I58" s="265" t="n"/>
      <c r="J58" s="29" t="n"/>
    </row>
    <row r="59" ht="15.75" customHeight="1" s="510">
      <c r="A59" s="241" t="n"/>
      <c r="B59" s="355" t="n"/>
      <c r="F59" s="3" t="n"/>
      <c r="G59" s="351" t="n"/>
      <c r="I59" s="2" t="inlineStr">
        <is>
          <t>Anlage Nr.</t>
        </is>
      </c>
      <c r="J59" s="375" t="n"/>
    </row>
    <row r="60" ht="15.75" customHeight="1" s="510">
      <c r="A60" s="266" t="n"/>
      <c r="B60" s="267" t="n"/>
      <c r="C60" s="268" t="n"/>
      <c r="D60" s="268" t="n"/>
      <c r="E60" s="268" t="n"/>
      <c r="F60" s="269" t="n"/>
      <c r="G60" s="268" t="n"/>
      <c r="H60" s="268" t="n"/>
      <c r="I60" s="270" t="n"/>
      <c r="J60" s="36" t="n"/>
    </row>
    <row r="61" ht="18.75" customHeight="1" s="510">
      <c r="A61" s="259" t="n"/>
      <c r="B61" s="260" t="n"/>
      <c r="C61" s="260" t="n"/>
      <c r="D61" s="260" t="n"/>
      <c r="E61" s="260" t="n"/>
      <c r="F61" s="260" t="n"/>
      <c r="G61" s="261" t="n"/>
      <c r="H61" s="261" t="n"/>
      <c r="I61" s="245" t="n"/>
      <c r="J61" s="30" t="n"/>
    </row>
    <row r="62" ht="20.25" customHeight="1" s="510">
      <c r="A62" s="363" t="inlineStr">
        <is>
          <t>5</t>
        </is>
      </c>
      <c r="B62" s="359" t="inlineStr">
        <is>
          <t>Liegt eine Unterbeauftragung vor?</t>
        </is>
      </c>
      <c r="F62" s="359" t="n"/>
      <c r="G62" s="359" t="n"/>
      <c r="H62" s="359" t="n"/>
      <c r="I62" s="359" t="n"/>
      <c r="J62" s="64" t="inlineStr">
        <is>
          <t>ja</t>
        </is>
      </c>
    </row>
    <row r="63">
      <c r="A63" s="271" t="n"/>
      <c r="B63" s="359" t="n"/>
      <c r="C63" s="359" t="n"/>
      <c r="D63" s="359" t="n"/>
      <c r="E63" s="350" t="n"/>
      <c r="F63" s="350" t="n"/>
      <c r="G63" s="350" t="n"/>
      <c r="H63" s="350" t="n"/>
      <c r="I63" s="350" t="n"/>
      <c r="J63" s="29" t="n"/>
    </row>
    <row r="64" ht="12.75" customHeight="1" s="510">
      <c r="A64" s="363" t="inlineStr">
        <is>
          <t>5.1</t>
        </is>
      </c>
      <c r="B64" s="359" t="inlineStr">
        <is>
          <t>Bei Auftragsanteil im Unterauftrag sind die Formulare gemäß § 44 VgV</t>
        </is>
      </c>
      <c r="G64" s="272" t="n"/>
      <c r="H64" s="272" t="n"/>
      <c r="I64" s="272" t="n"/>
      <c r="J64" s="29" t="n"/>
    </row>
    <row r="65">
      <c r="A65" s="271" t="n"/>
      <c r="B65" s="349" t="inlineStr">
        <is>
          <t>je Nachunternehmer auszufüllen (nur Nummern 2, 3, 6, 10, ggf. 9).</t>
        </is>
      </c>
      <c r="G65" s="350" t="n"/>
      <c r="H65" s="350" t="n"/>
      <c r="I65" s="350" t="n"/>
      <c r="J65" s="29" t="n"/>
    </row>
    <row r="66">
      <c r="A66" s="363" t="n"/>
      <c r="B66" s="359" t="n"/>
      <c r="C66" s="359" t="n"/>
      <c r="D66" s="359" t="n"/>
      <c r="E66" s="350" t="n"/>
      <c r="F66" s="350" t="n"/>
      <c r="G66" s="350" t="n"/>
      <c r="H66" s="350" t="n"/>
      <c r="I66" s="350" t="n"/>
      <c r="J66" s="29" t="n"/>
    </row>
    <row r="67">
      <c r="A67" s="363" t="inlineStr">
        <is>
          <t>5.2</t>
        </is>
      </c>
      <c r="B67" s="359" t="inlineStr">
        <is>
          <t>Art / Umfang der Unterbeauftragung (Leistungen nach HOAI):</t>
        </is>
      </c>
      <c r="F67" s="263" t="n"/>
      <c r="G67" s="263" t="n"/>
      <c r="H67" s="263" t="n"/>
      <c r="I67" s="263" t="n"/>
      <c r="J67" s="377" t="n"/>
    </row>
    <row r="68">
      <c r="A68" s="363" t="n"/>
      <c r="B68" s="265" t="n"/>
      <c r="C68" s="265" t="n"/>
      <c r="D68" s="265" t="n"/>
      <c r="E68" s="263" t="n"/>
      <c r="F68" s="263" t="n"/>
      <c r="G68" s="263" t="n"/>
      <c r="H68" s="263" t="n"/>
      <c r="I68" s="263" t="n"/>
      <c r="J68" s="575" t="n"/>
    </row>
    <row r="69" ht="12.75" customHeight="1" s="510">
      <c r="A69" s="363" t="n"/>
      <c r="B69" s="359" t="n"/>
      <c r="C69" s="359" t="n"/>
      <c r="D69" s="359" t="n"/>
      <c r="E69" s="263" t="n"/>
      <c r="F69" s="263" t="n"/>
      <c r="G69" s="263" t="n"/>
      <c r="H69" s="263" t="n"/>
      <c r="I69" s="263" t="n"/>
      <c r="J69" s="574" t="n"/>
    </row>
    <row r="70">
      <c r="A70" s="363" t="n"/>
      <c r="B70" s="359" t="n"/>
      <c r="C70" s="359" t="n"/>
      <c r="D70" s="359" t="n"/>
      <c r="E70" s="359" t="n"/>
      <c r="F70" s="359" t="n"/>
      <c r="G70" s="359" t="n"/>
      <c r="H70" s="359" t="n"/>
      <c r="I70" s="359" t="n"/>
      <c r="J70" s="29" t="n"/>
    </row>
    <row r="71">
      <c r="A71" s="363" t="inlineStr">
        <is>
          <t>5.3</t>
        </is>
      </c>
      <c r="B71" s="350" t="inlineStr">
        <is>
          <t>Bei einer Unterbeauftragung ist eine Verpflichtungserklärung des</t>
        </is>
      </c>
      <c r="I71" s="350" t="n"/>
      <c r="J71" s="29" t="n"/>
    </row>
    <row r="72" ht="12.75" customHeight="1" s="510">
      <c r="A72" s="363" t="n"/>
      <c r="B72" s="350" t="inlineStr">
        <is>
          <t xml:space="preserve">Nachunternehmers vorzulegen, im Auftragsfall die für den Hauptunternehmer </t>
        </is>
      </c>
      <c r="J72" s="29" t="n"/>
    </row>
    <row r="73" ht="18.75" customHeight="1" s="510">
      <c r="A73" s="363" t="n"/>
      <c r="B73" s="350" t="inlineStr">
        <is>
          <t xml:space="preserve">zur Auftragserfüllung erforderlichen Leistungen zu erbringen. </t>
        </is>
      </c>
      <c r="H73" s="350" t="n"/>
      <c r="I73" s="350" t="n"/>
      <c r="J73" s="29" t="n"/>
    </row>
    <row r="74" ht="18" customHeight="1" s="510">
      <c r="A74" s="251" t="n"/>
      <c r="B74" s="372" t="n"/>
      <c r="F74" s="249" t="n"/>
      <c r="G74" s="249" t="n"/>
      <c r="I74" s="2" t="inlineStr">
        <is>
          <t xml:space="preserve">Anlage Nr. </t>
        </is>
      </c>
      <c r="J74" s="375" t="n"/>
    </row>
    <row r="75" ht="6" customHeight="1" s="510">
      <c r="A75" s="274" t="n"/>
      <c r="B75" s="269" t="n"/>
      <c r="C75" s="1" t="n"/>
      <c r="D75" s="1" t="n"/>
      <c r="E75" s="1" t="n"/>
      <c r="F75" s="1" t="n"/>
      <c r="G75" s="1" t="n"/>
      <c r="H75" s="1" t="n"/>
      <c r="I75" s="1" t="n"/>
      <c r="J75" s="31" t="n"/>
    </row>
    <row r="76">
      <c r="A76" s="275" t="n"/>
      <c r="B76" s="260" t="n"/>
      <c r="C76" s="245" t="n"/>
      <c r="D76" s="245" t="n"/>
      <c r="E76" s="245" t="n"/>
      <c r="F76" s="245" t="n"/>
      <c r="G76" s="245" t="n"/>
      <c r="H76" s="245" t="n"/>
      <c r="I76" s="245" t="n"/>
      <c r="J76" s="30" t="n"/>
    </row>
    <row r="77">
      <c r="A77" s="229" t="inlineStr">
        <is>
          <t>6</t>
        </is>
      </c>
      <c r="B77" s="276" t="inlineStr">
        <is>
          <t>Nachweis der fachlichen Eignung gem. § 46 (3) 8 VgV</t>
        </is>
      </c>
      <c r="C77" s="232" t="n"/>
      <c r="D77" s="232" t="n"/>
      <c r="E77" s="232" t="n"/>
      <c r="F77" s="232" t="n"/>
      <c r="G77" s="232" t="n"/>
      <c r="H77" s="232" t="n"/>
      <c r="I77" s="232" t="n"/>
      <c r="J77" s="29" t="n"/>
    </row>
    <row r="78">
      <c r="A78" s="277" t="n"/>
      <c r="B78" s="232" t="n"/>
      <c r="C78" s="232" t="n"/>
      <c r="D78" s="232" t="n"/>
      <c r="E78" s="232" t="n"/>
      <c r="F78" s="232" t="n"/>
      <c r="G78" s="232" t="n"/>
      <c r="H78" s="232" t="n"/>
      <c r="I78" s="232" t="n"/>
      <c r="J78" s="29" t="n"/>
    </row>
    <row r="79" ht="13.5" customHeight="1" s="510">
      <c r="A79" s="229" t="n"/>
      <c r="B79" s="358" t="inlineStr">
        <is>
          <t>Mitarbeiterstruktur der für die ausgeschriebene Planungsleistung relevanten Abteilung/en</t>
        </is>
      </c>
      <c r="J79" s="29" t="n"/>
    </row>
    <row r="80">
      <c r="A80" s="229" t="n"/>
      <c r="B80" s="279" t="inlineStr">
        <is>
          <t>ohne freiberufliche Mitarbeiter.</t>
        </is>
      </c>
      <c r="C80" s="358" t="n"/>
      <c r="D80" s="358" t="n"/>
      <c r="E80" s="358" t="n"/>
      <c r="F80" s="358" t="n"/>
      <c r="G80" s="358" t="n"/>
      <c r="H80" s="358" t="n"/>
      <c r="I80" s="358" t="n"/>
      <c r="J80" s="29" t="n"/>
    </row>
    <row r="81" ht="12.75" customHeight="1" s="510">
      <c r="A81" s="255" t="n"/>
      <c r="B81" s="3" t="n"/>
      <c r="C81" s="2" t="n"/>
      <c r="D81" s="3" t="n"/>
      <c r="E81" s="3" t="n"/>
      <c r="F81" s="2" t="n"/>
      <c r="G81" s="395" t="n"/>
      <c r="H81" s="2" t="n"/>
      <c r="I81" s="3" t="n"/>
      <c r="J81" s="35" t="n"/>
    </row>
    <row r="82" ht="26.25" customHeight="1" s="510">
      <c r="A82" s="277" t="inlineStr">
        <is>
          <t>6.1</t>
        </is>
      </c>
      <c r="B82" s="345" t="inlineStr">
        <is>
          <t>Mitarbeiter mit Abschluss in Fachrichtung Architektur (Dipl.-Ing. univ/TU/TH/FH, Bachelor, Master o. vglb.)</t>
        </is>
      </c>
      <c r="F82" s="365" t="n"/>
      <c r="G82" s="395" t="n"/>
      <c r="H82" s="395" t="n"/>
      <c r="I82" s="365" t="inlineStr">
        <is>
          <t>Anzahl</t>
        </is>
      </c>
      <c r="J82" s="53" t="inlineStr">
        <is>
          <t>28</t>
        </is>
      </c>
    </row>
    <row r="83" ht="12.75" customHeight="1" s="510">
      <c r="A83" s="281" t="n"/>
      <c r="B83" s="2" t="n"/>
      <c r="C83" s="3" t="n"/>
      <c r="D83" s="3" t="n"/>
      <c r="E83" s="3" t="n"/>
      <c r="F83" s="3" t="n"/>
      <c r="G83" s="3" t="n"/>
      <c r="H83" s="3" t="n"/>
      <c r="I83" s="3" t="n"/>
      <c r="J83" s="29" t="n"/>
    </row>
    <row r="84" ht="26.25" customHeight="1" s="510">
      <c r="A84" s="277" t="inlineStr">
        <is>
          <t>6.2</t>
        </is>
      </c>
      <c r="B84" s="349" t="inlineStr">
        <is>
          <t>Mitarbeiter, die mit der Bauleitung betraut sind</t>
        </is>
      </c>
      <c r="F84" s="282" t="n"/>
      <c r="G84" s="282" t="n"/>
      <c r="H84" s="282" t="n"/>
      <c r="I84" s="282" t="inlineStr">
        <is>
          <t>Anzahl</t>
        </is>
      </c>
      <c r="J84" s="97" t="inlineStr">
        <is>
          <t>1</t>
        </is>
      </c>
    </row>
    <row r="85">
      <c r="A85" s="251" t="n"/>
      <c r="B85" s="359" t="n"/>
      <c r="F85" s="282" t="n"/>
      <c r="G85" s="282" t="n"/>
      <c r="H85" s="282" t="n"/>
      <c r="I85" s="282" t="n"/>
      <c r="J85" s="29" t="n"/>
    </row>
    <row r="86">
      <c r="A86" s="283" t="n"/>
      <c r="B86" s="371" t="inlineStr">
        <is>
          <t>Es ist ein aktuelles detailliertes Büro-Organigramm beizulegen.</t>
        </is>
      </c>
      <c r="F86" s="284" t="n"/>
      <c r="G86" s="284" t="n"/>
      <c r="H86" s="284" t="n"/>
      <c r="I86" s="284" t="inlineStr">
        <is>
          <t>Anlage Nr.</t>
        </is>
      </c>
      <c r="J86" s="64" t="n"/>
    </row>
    <row r="87" ht="25.5" customHeight="1" s="510">
      <c r="A87" s="229" t="n"/>
      <c r="B87" s="371" t="inlineStr">
        <is>
          <t>Die zu Punkt 6.1, ff. genannten Mitarbeiter müssen entsprechend ersichtlich sein.</t>
        </is>
      </c>
      <c r="F87" s="2" t="n"/>
      <c r="G87" s="2" t="n"/>
      <c r="H87" s="2" t="n"/>
      <c r="I87" s="2" t="n"/>
      <c r="J87" s="29" t="n"/>
    </row>
    <row r="88">
      <c r="A88" s="285" t="n"/>
      <c r="B88" s="1" t="n"/>
      <c r="C88" s="1" t="n"/>
      <c r="D88" s="1" t="n"/>
      <c r="E88" s="1" t="n"/>
      <c r="F88" s="1" t="n"/>
      <c r="G88" s="1" t="n"/>
      <c r="H88" s="1" t="n"/>
      <c r="I88" s="1" t="n"/>
      <c r="J88" s="31" t="n"/>
    </row>
    <row r="89" ht="7.5" customHeight="1" s="510">
      <c r="A89" s="286" t="n"/>
      <c r="B89" s="245" t="n"/>
      <c r="C89" s="245" t="n"/>
      <c r="D89" s="245" t="n"/>
      <c r="E89" s="245" t="n"/>
      <c r="F89" s="245" t="n"/>
      <c r="G89" s="245" t="n"/>
      <c r="H89" s="245" t="n"/>
      <c r="I89" s="245" t="n"/>
      <c r="J89" s="30" t="n"/>
    </row>
    <row r="90" ht="24.75" customHeight="1" s="510">
      <c r="A90" s="363" t="inlineStr">
        <is>
          <t>7</t>
        </is>
      </c>
      <c r="B90" s="350" t="inlineStr">
        <is>
          <t>Ausstattung, Geräte, Technische Ausrüstung der für die ausgeschriebene Planungsleistung relevanten Abteilung/en gem. § 46 (3) 3 VgV</t>
        </is>
      </c>
      <c r="I90" s="287" t="n"/>
      <c r="J90" s="29" t="n"/>
    </row>
    <row r="91">
      <c r="A91" s="11" t="n"/>
      <c r="B91" s="265" t="n"/>
      <c r="C91" s="265" t="n"/>
      <c r="D91" s="265" t="n"/>
      <c r="E91" s="265" t="n"/>
      <c r="F91" s="265" t="n"/>
      <c r="G91" s="265" t="n"/>
      <c r="H91" s="265" t="n"/>
      <c r="I91" s="265" t="n"/>
      <c r="J91" s="29" t="n"/>
    </row>
    <row r="92" ht="12.75" customHeight="1" s="510">
      <c r="A92" s="363" t="n"/>
      <c r="B92" s="359" t="n"/>
      <c r="C92" s="359" t="n"/>
      <c r="D92" s="359" t="n"/>
      <c r="E92" s="359" t="n"/>
      <c r="F92" s="359" t="n"/>
      <c r="G92" s="359" t="n"/>
      <c r="H92" s="359" t="n"/>
      <c r="I92" s="359" t="n"/>
      <c r="J92" s="29" t="n"/>
    </row>
    <row r="93" ht="12.75" customHeight="1" s="510">
      <c r="A93" s="363" t="inlineStr">
        <is>
          <t>7.1</t>
        </is>
      </c>
      <c r="B93" s="359" t="inlineStr">
        <is>
          <t>Hardware und Anzahl der Rechnerarbeitsplätze:</t>
        </is>
      </c>
      <c r="F93" s="359" t="n"/>
      <c r="G93" s="359" t="n"/>
      <c r="H93" s="263" t="n"/>
      <c r="I93" s="263" t="n"/>
      <c r="J93" s="97" t="n"/>
    </row>
    <row r="94" ht="12.75" customHeight="1" s="510">
      <c r="A94" s="363" t="n"/>
      <c r="B94" s="359" t="n"/>
      <c r="C94" s="359" t="n"/>
      <c r="D94" s="359" t="n"/>
      <c r="E94" s="359" t="n"/>
      <c r="F94" s="359" t="n"/>
      <c r="G94" s="359" t="n"/>
      <c r="H94" s="359" t="n"/>
      <c r="I94" s="359" t="n"/>
      <c r="J94" s="29" t="n"/>
    </row>
    <row r="95" ht="12.75" customHeight="1" s="510">
      <c r="A95" s="363" t="inlineStr">
        <is>
          <t>7.2</t>
        </is>
      </c>
      <c r="B95" s="349" t="inlineStr">
        <is>
          <t>AVA-Programm</t>
        </is>
      </c>
      <c r="F95" s="576" t="inlineStr">
        <is>
          <t>Name / Version</t>
        </is>
      </c>
      <c r="I95" s="511" t="n"/>
      <c r="J95" s="97" t="n"/>
    </row>
    <row r="96" ht="12.75" customHeight="1" s="510">
      <c r="A96" s="363" t="n"/>
      <c r="B96" s="359" t="n"/>
      <c r="C96" s="359" t="n"/>
      <c r="D96" s="359" t="n"/>
      <c r="E96" s="359" t="n"/>
      <c r="F96" s="359" t="n"/>
      <c r="G96" s="359" t="n"/>
      <c r="H96" s="359" t="n"/>
      <c r="I96" s="359" t="n"/>
      <c r="J96" s="29" t="n"/>
    </row>
    <row r="97" ht="12.75" customHeight="1" s="510">
      <c r="A97" s="363" t="n"/>
      <c r="B97" s="359" t="n"/>
      <c r="C97" s="359" t="n"/>
      <c r="D97" s="359" t="n"/>
      <c r="E97" s="359" t="n"/>
      <c r="F97" s="366" t="inlineStr">
        <is>
          <t>Anzahl der Lizenzen:</t>
        </is>
      </c>
      <c r="I97" s="511" t="n"/>
      <c r="J97" s="97" t="n"/>
    </row>
    <row r="98" ht="12.75" customHeight="1" s="510">
      <c r="A98" s="363" t="n"/>
      <c r="B98" s="359" t="n"/>
      <c r="C98" s="359" t="n"/>
      <c r="D98" s="359" t="n"/>
      <c r="E98" s="359" t="n"/>
      <c r="F98" s="359" t="n"/>
      <c r="G98" s="359" t="n"/>
      <c r="H98" s="359" t="n"/>
      <c r="I98" s="359" t="n"/>
      <c r="J98" s="29" t="n"/>
    </row>
    <row r="99" ht="12.75" customHeight="1" s="510">
      <c r="A99" s="363" t="inlineStr">
        <is>
          <t>7.3</t>
        </is>
      </c>
      <c r="B99" s="359" t="inlineStr">
        <is>
          <t>Termin-Programm</t>
        </is>
      </c>
      <c r="F99" s="366" t="inlineStr">
        <is>
          <t>Name / Version</t>
        </is>
      </c>
      <c r="I99" s="511" t="n"/>
      <c r="J99" s="97" t="n"/>
    </row>
    <row r="100" ht="12.75" customHeight="1" s="510">
      <c r="A100" s="363" t="n"/>
      <c r="B100" s="359" t="n"/>
      <c r="C100" s="359" t="n"/>
      <c r="D100" s="359" t="n"/>
      <c r="E100" s="359" t="n"/>
      <c r="F100" s="359" t="n"/>
      <c r="G100" s="359" t="n"/>
      <c r="H100" s="359" t="n"/>
      <c r="I100" s="359" t="n"/>
      <c r="J100" s="29" t="n"/>
    </row>
    <row r="101" ht="12.75" customHeight="1" s="510">
      <c r="A101" s="363" t="n"/>
      <c r="B101" s="359" t="n"/>
      <c r="C101" s="359" t="n"/>
      <c r="D101" s="359" t="n"/>
      <c r="E101" s="359" t="n"/>
      <c r="F101" s="366" t="inlineStr">
        <is>
          <t>Anzahl der Lizenzen:</t>
        </is>
      </c>
      <c r="I101" s="511" t="n"/>
      <c r="J101" s="97" t="n"/>
    </row>
    <row r="102" ht="12.75" customHeight="1" s="510">
      <c r="A102" s="363" t="n"/>
      <c r="B102" s="359" t="n"/>
      <c r="C102" s="359" t="n"/>
      <c r="D102" s="359" t="n"/>
      <c r="E102" s="359" t="n"/>
      <c r="F102" s="359" t="n"/>
      <c r="G102" s="359" t="n"/>
      <c r="H102" s="359" t="n"/>
      <c r="I102" s="359" t="n"/>
      <c r="J102" s="29" t="n"/>
    </row>
    <row r="103" ht="12.75" customHeight="1" s="510">
      <c r="A103" s="363" t="inlineStr">
        <is>
          <t>7.4</t>
        </is>
      </c>
      <c r="B103" s="359" t="inlineStr">
        <is>
          <t>Kostenkontroll/-steuerungs-Programm</t>
        </is>
      </c>
      <c r="F103" s="366" t="inlineStr">
        <is>
          <t>Name/Version:</t>
        </is>
      </c>
      <c r="I103" s="511" t="n"/>
      <c r="J103" s="97" t="n"/>
    </row>
    <row r="104" ht="12.75" customHeight="1" s="510">
      <c r="A104" s="363" t="n"/>
      <c r="B104" s="359" t="n"/>
      <c r="C104" s="359" t="n"/>
      <c r="D104" s="359" t="n"/>
      <c r="E104" s="359" t="n"/>
      <c r="F104" s="359" t="n"/>
      <c r="G104" s="359" t="n"/>
      <c r="H104" s="359" t="n"/>
      <c r="I104" s="359" t="n"/>
      <c r="J104" s="29" t="n"/>
    </row>
    <row r="105" ht="12.75" customHeight="1" s="510">
      <c r="A105" s="363" t="n"/>
      <c r="B105" s="359" t="n"/>
      <c r="C105" s="359" t="n"/>
      <c r="D105" s="359" t="n"/>
      <c r="E105" s="359" t="n"/>
      <c r="F105" s="366" t="inlineStr">
        <is>
          <t>Anzahl der Lizenzen:</t>
        </is>
      </c>
      <c r="I105" s="511" t="n"/>
      <c r="J105" s="97" t="n"/>
    </row>
    <row r="106" ht="12.75" customHeight="1" s="510">
      <c r="A106" s="363" t="n"/>
      <c r="B106" s="359" t="n"/>
      <c r="C106" s="359" t="n"/>
      <c r="D106" s="359" t="n"/>
      <c r="E106" s="359" t="n"/>
      <c r="F106" s="359" t="n"/>
      <c r="G106" s="359" t="n"/>
      <c r="H106" s="359" t="n"/>
      <c r="I106" s="359" t="n"/>
      <c r="J106" s="29" t="n"/>
    </row>
    <row r="107">
      <c r="A107" s="363" t="inlineStr">
        <is>
          <t>7.5</t>
        </is>
      </c>
      <c r="B107" s="359" t="inlineStr">
        <is>
          <t>CAD</t>
        </is>
      </c>
      <c r="F107" s="366" t="inlineStr">
        <is>
          <t>Name/Version</t>
        </is>
      </c>
      <c r="I107" s="511" t="n"/>
      <c r="J107" s="97" t="n"/>
    </row>
    <row r="108">
      <c r="A108" s="363" t="n"/>
      <c r="B108" s="359" t="n"/>
      <c r="C108" s="359" t="n"/>
      <c r="D108" s="359" t="n"/>
      <c r="E108" s="359" t="n"/>
      <c r="F108" s="359" t="n"/>
      <c r="G108" s="359" t="n"/>
      <c r="H108" s="359" t="n"/>
      <c r="I108" s="359" t="n"/>
      <c r="J108" s="29" t="n"/>
    </row>
    <row r="109" ht="16.5" customHeight="1" s="510">
      <c r="A109" s="363" t="n"/>
      <c r="B109" s="359" t="n"/>
      <c r="C109" s="359" t="n"/>
      <c r="D109" s="359" t="n"/>
      <c r="E109" s="359" t="n"/>
      <c r="F109" s="366" t="inlineStr">
        <is>
          <t>Anzahl der Lizenzen:</t>
        </is>
      </c>
      <c r="I109" s="511" t="n"/>
      <c r="J109" s="97" t="n"/>
    </row>
    <row r="110">
      <c r="A110" s="226" t="n"/>
      <c r="B110" s="1" t="n"/>
      <c r="C110" s="1" t="n"/>
      <c r="D110" s="1" t="n"/>
      <c r="E110" s="1" t="n"/>
      <c r="F110" s="1" t="n"/>
      <c r="G110" s="288" t="n"/>
      <c r="H110" s="288" t="n"/>
      <c r="I110" s="288" t="n"/>
      <c r="J110" s="29" t="n"/>
    </row>
    <row r="111" ht="27.75" customHeight="1" s="510">
      <c r="A111" s="251" t="n"/>
      <c r="B111" s="3" t="n"/>
      <c r="C111" s="3" t="n"/>
      <c r="D111" s="3" t="n"/>
      <c r="E111" s="3" t="n"/>
      <c r="F111" s="3" t="n"/>
      <c r="G111" s="364" t="n"/>
      <c r="H111" s="289" t="n"/>
      <c r="I111" s="289" t="n"/>
      <c r="J111" s="30" t="n"/>
    </row>
    <row r="112">
      <c r="A112" s="363" t="inlineStr">
        <is>
          <t>8</t>
        </is>
      </c>
      <c r="B112" s="368" t="inlineStr">
        <is>
          <t>Nachweis der finanziellen und wirtschaftlichen Leistungsfähigkeit gem. § 45 VgV (1)</t>
        </is>
      </c>
      <c r="I112" s="511" t="n"/>
      <c r="J112" s="29" t="n"/>
    </row>
    <row r="113">
      <c r="A113" s="290" t="n"/>
      <c r="B113" s="359" t="n"/>
      <c r="C113" s="359" t="n"/>
      <c r="D113" s="359" t="n"/>
      <c r="E113" s="359" t="n"/>
      <c r="F113" s="359" t="n"/>
      <c r="G113" s="359" t="n"/>
      <c r="H113" s="359" t="n"/>
      <c r="I113" s="359" t="n"/>
      <c r="J113" s="29" t="n"/>
    </row>
    <row r="114">
      <c r="A114" s="363" t="inlineStr">
        <is>
          <t>8.1</t>
        </is>
      </c>
      <c r="B114" s="359" t="inlineStr">
        <is>
          <t>VgV § 45 (1) 3, (4) 2</t>
        </is>
      </c>
      <c r="D114" s="366" t="inlineStr">
        <is>
          <t>Nachweis über eine bestehende Berufshaftpflichtversicherung</t>
        </is>
      </c>
      <c r="I114" s="511" t="n"/>
      <c r="J114" s="33" t="n"/>
    </row>
    <row r="115">
      <c r="A115" s="251" t="n"/>
      <c r="B115" s="2" t="n"/>
      <c r="C115" s="2" t="n"/>
      <c r="D115" s="2" t="n"/>
      <c r="E115" s="2" t="n"/>
      <c r="F115" s="2" t="n"/>
      <c r="G115" s="2" t="n"/>
      <c r="H115" s="2" t="n"/>
      <c r="I115" s="2" t="n"/>
      <c r="J115" s="29" t="n"/>
    </row>
    <row r="116" ht="12.75" customHeight="1" s="510">
      <c r="A116" s="251" t="n"/>
      <c r="B116" s="367" t="inlineStr">
        <is>
          <t xml:space="preserve">Aktuelle Deckungsbestätigung Versicherung in Kopie beizulegen </t>
        </is>
      </c>
      <c r="H116" s="291" t="n"/>
      <c r="I116" s="2" t="inlineStr">
        <is>
          <t>Anlage Nr.</t>
        </is>
      </c>
      <c r="J116" s="97" t="n"/>
    </row>
    <row r="117">
      <c r="A117" s="251" t="n"/>
      <c r="B117" s="2" t="n"/>
      <c r="C117" s="2" t="n"/>
      <c r="D117" s="2" t="n"/>
      <c r="E117" s="2" t="n"/>
      <c r="F117" s="2" t="n"/>
      <c r="G117" s="2" t="n"/>
      <c r="H117" s="2" t="n"/>
      <c r="I117" s="2" t="n"/>
      <c r="J117" s="29" t="n"/>
    </row>
    <row r="118">
      <c r="A118" s="251" t="n"/>
      <c r="B118" s="2" t="n"/>
      <c r="C118" s="2" t="n"/>
      <c r="D118" s="4" t="inlineStr">
        <is>
          <t>Personenschäden:</t>
        </is>
      </c>
      <c r="E118" s="16" t="n"/>
      <c r="F118" s="364" t="n"/>
      <c r="I118" s="2" t="inlineStr">
        <is>
          <t>in Mio. €</t>
        </is>
      </c>
      <c r="J118" s="577" t="n"/>
    </row>
    <row r="119" ht="14.25" customHeight="1" s="510">
      <c r="A119" s="251" t="n"/>
      <c r="B119" s="2" t="n"/>
      <c r="C119" s="2" t="n"/>
      <c r="D119" s="2" t="n"/>
      <c r="E119" s="2" t="n"/>
      <c r="F119" s="364" t="n"/>
      <c r="G119" s="364" t="n"/>
      <c r="H119" s="578" t="n"/>
      <c r="I119" s="578" t="n"/>
      <c r="J119" s="29" t="n"/>
    </row>
    <row r="120">
      <c r="A120" s="251" t="n"/>
      <c r="B120" s="2" t="n"/>
      <c r="C120" s="2" t="n"/>
      <c r="D120" s="4" t="inlineStr">
        <is>
          <t>Sonstige Schäden:</t>
        </is>
      </c>
      <c r="E120" s="16" t="n"/>
      <c r="F120" s="364" t="n"/>
      <c r="I120" s="2" t="inlineStr">
        <is>
          <t>in Mio. €</t>
        </is>
      </c>
      <c r="J120" s="577" t="n"/>
    </row>
    <row r="121">
      <c r="A121" s="251" t="n"/>
      <c r="B121" s="2" t="n"/>
      <c r="C121" s="2" t="n"/>
      <c r="D121" s="2" t="n"/>
      <c r="E121" s="2" t="n"/>
      <c r="F121" s="2" t="n"/>
      <c r="G121" s="365" t="n"/>
      <c r="H121" s="2" t="n"/>
      <c r="I121" s="2" t="n"/>
      <c r="J121" s="29" t="n"/>
    </row>
    <row r="122">
      <c r="A122" s="363" t="inlineStr">
        <is>
          <t>8.2</t>
        </is>
      </c>
      <c r="B122" s="359" t="inlineStr">
        <is>
          <t>VgV § 45 (1) 1, (4) 4</t>
        </is>
      </c>
      <c r="D122" s="359" t="inlineStr">
        <is>
          <t>Gesamtumsatz des Bewerbers [netto in €]</t>
        </is>
      </c>
      <c r="F122" s="3" t="n"/>
      <c r="G122" s="395" t="n"/>
      <c r="H122" s="3" t="n"/>
      <c r="I122" s="2" t="n"/>
      <c r="J122" s="29" t="n"/>
    </row>
    <row r="123" ht="17.25" customHeight="1" s="510">
      <c r="A123" s="363" t="n"/>
      <c r="B123" s="359" t="n"/>
      <c r="C123" s="359" t="n"/>
      <c r="D123" s="359" t="inlineStr">
        <is>
          <t>für die ausgeschriebene Planungsleistung</t>
        </is>
      </c>
      <c r="F123" s="3" t="n"/>
      <c r="G123" s="395" t="n"/>
      <c r="H123" s="3" t="n"/>
      <c r="I123" s="2" t="n"/>
      <c r="J123" s="29" t="n"/>
    </row>
    <row r="124">
      <c r="A124" s="251" t="n"/>
      <c r="B124" s="2" t="n"/>
      <c r="C124" s="2" t="n"/>
      <c r="D124" s="2" t="n"/>
      <c r="E124" s="2" t="n"/>
      <c r="F124" s="2" t="n"/>
      <c r="G124" s="365" t="n"/>
      <c r="H124" s="2" t="n"/>
      <c r="I124" s="2" t="n"/>
      <c r="J124" s="29" t="n"/>
    </row>
    <row r="125" ht="14.1" customHeight="1" s="510">
      <c r="A125" s="251" t="n"/>
      <c r="B125" s="2" t="n"/>
      <c r="C125" s="2" t="n"/>
      <c r="D125" s="2" t="n"/>
      <c r="E125" s="365" t="n"/>
      <c r="I125" s="364" t="n">
        <v>2022</v>
      </c>
      <c r="J125" s="32" t="n"/>
    </row>
    <row r="126" ht="5.1" customHeight="1" s="510">
      <c r="A126" s="251" t="n"/>
      <c r="B126" s="2" t="n"/>
      <c r="C126" s="2" t="n"/>
      <c r="D126" s="2" t="n"/>
      <c r="E126" s="365" t="n"/>
      <c r="F126" s="293" t="n"/>
      <c r="G126" s="293" t="n"/>
      <c r="H126" s="293" t="n"/>
      <c r="I126" s="294" t="n"/>
      <c r="J126" s="29" t="n"/>
    </row>
    <row r="127" ht="14.1" customHeight="1" s="510">
      <c r="A127" s="251" t="n"/>
      <c r="B127" s="2" t="n"/>
      <c r="C127" s="2" t="n"/>
      <c r="D127" s="2" t="n"/>
      <c r="E127" s="365" t="n"/>
      <c r="I127" s="364" t="n">
        <v>2023</v>
      </c>
      <c r="J127" s="32" t="inlineStr">
        <is>
          <t>7210000</t>
        </is>
      </c>
    </row>
    <row r="128" ht="5.1" customHeight="1" s="510">
      <c r="A128" s="251" t="n"/>
      <c r="B128" s="2" t="n"/>
      <c r="C128" s="2" t="n"/>
      <c r="D128" s="2" t="n"/>
      <c r="E128" s="365" t="n"/>
      <c r="F128" s="293" t="n"/>
      <c r="G128" s="293" t="n"/>
      <c r="H128" s="293" t="n"/>
      <c r="I128" s="294" t="n"/>
      <c r="J128" s="29" t="n"/>
    </row>
    <row r="129" ht="14.1" customHeight="1" s="510">
      <c r="A129" s="251" t="n"/>
      <c r="B129" s="2" t="n"/>
      <c r="C129" s="2" t="n"/>
      <c r="D129" s="2" t="n"/>
      <c r="I129" s="364" t="n">
        <v>2024</v>
      </c>
      <c r="J129" s="32" t="inlineStr">
        <is>
          <t>7960000</t>
        </is>
      </c>
    </row>
    <row r="130" ht="5.1" customHeight="1" s="510">
      <c r="A130" s="251" t="n"/>
      <c r="B130" s="2" t="n"/>
      <c r="C130" s="2" t="n"/>
      <c r="D130" s="365" t="n"/>
      <c r="E130" s="365" t="n"/>
      <c r="F130" s="365" t="n"/>
      <c r="G130" s="365" t="n"/>
      <c r="H130" s="578" t="n"/>
      <c r="I130" s="579" t="n"/>
      <c r="J130" s="29" t="n"/>
    </row>
    <row r="131" ht="14.1" customHeight="1" s="510">
      <c r="A131" s="251" t="n"/>
      <c r="B131" s="2" t="n"/>
      <c r="C131" s="2" t="n"/>
      <c r="D131" s="365" t="inlineStr">
        <is>
          <t>3-Jahresdurchschnitt</t>
        </is>
      </c>
      <c r="J131" s="32" t="inlineStr">
        <is>
          <t>7870000</t>
        </is>
      </c>
    </row>
    <row r="132" ht="7.5" customHeight="1" s="510">
      <c r="A132" s="251" t="n"/>
      <c r="B132" s="2" t="n"/>
      <c r="C132" s="2" t="n"/>
      <c r="D132" s="2" t="n"/>
      <c r="E132" s="2" t="n"/>
      <c r="F132" s="2" t="n"/>
      <c r="G132" s="2" t="n"/>
      <c r="H132" s="2" t="n"/>
      <c r="I132" s="2" t="n"/>
      <c r="J132" s="29" t="n"/>
    </row>
    <row r="133" ht="25.5" customHeight="1" s="510">
      <c r="A133" s="259" t="n"/>
      <c r="B133" s="245" t="n"/>
      <c r="C133" s="245" t="n"/>
      <c r="D133" s="245" t="n"/>
      <c r="E133" s="245" t="n"/>
      <c r="F133" s="245" t="n"/>
      <c r="G133" s="245" t="n"/>
      <c r="H133" s="245" t="n"/>
      <c r="I133" s="245" t="n"/>
      <c r="J133" s="30" t="n"/>
    </row>
    <row r="134" ht="18" customHeight="1" s="510">
      <c r="A134" s="363" t="inlineStr">
        <is>
          <t>9</t>
        </is>
      </c>
      <c r="B134" s="349" t="inlineStr">
        <is>
          <t>Nachweis der fachlichen Eignung gem. § 44 VgV</t>
        </is>
      </c>
      <c r="F134" s="62" t="n"/>
      <c r="G134" s="62" t="n"/>
      <c r="H134" s="62" t="n"/>
      <c r="I134" s="62" t="n"/>
      <c r="J134" s="65" t="n"/>
    </row>
    <row r="135" ht="14.25" customHeight="1" s="510">
      <c r="A135" s="296" t="n"/>
      <c r="B135" s="349" t="n"/>
      <c r="C135" s="349" t="n"/>
      <c r="D135" s="349" t="n"/>
      <c r="E135" s="349" t="n"/>
      <c r="F135" s="62" t="n"/>
      <c r="G135" s="62" t="n"/>
      <c r="H135" s="62" t="n"/>
      <c r="I135" s="62" t="n"/>
      <c r="J135" s="65" t="n"/>
    </row>
    <row r="136" ht="31.5" customHeight="1" s="510">
      <c r="A136" s="363" t="inlineStr">
        <is>
          <t>9.1</t>
        </is>
      </c>
      <c r="B136" s="350" t="inlineStr">
        <is>
          <t>Projektleiter (mit Berufsabschluss/Berufsbezeichnung als Architekt)</t>
        </is>
      </c>
      <c r="F136" s="62" t="n"/>
      <c r="G136" s="62" t="n"/>
      <c r="H136" s="62" t="n"/>
      <c r="I136" s="62" t="n"/>
      <c r="J136" s="65" t="n"/>
    </row>
    <row r="137" ht="6" customHeight="1" s="510">
      <c r="A137" s="363" t="n"/>
      <c r="B137" s="349" t="n"/>
      <c r="C137" s="349" t="n"/>
      <c r="D137" s="349" t="n"/>
      <c r="E137" s="349" t="n"/>
      <c r="F137" s="62" t="n"/>
      <c r="G137" s="62" t="n"/>
      <c r="H137" s="62" t="n"/>
      <c r="I137" s="62" t="n"/>
      <c r="J137" s="65" t="n"/>
    </row>
    <row r="138" ht="14.25" customHeight="1" s="510">
      <c r="A138" s="363" t="n"/>
      <c r="B138" s="349" t="inlineStr">
        <is>
          <t>Name</t>
        </is>
      </c>
      <c r="C138" s="349" t="n"/>
      <c r="D138" s="349" t="n"/>
      <c r="E138" s="263" t="n"/>
      <c r="J138" s="64" t="inlineStr">
        <is>
          <t>M. Sc. Arch. Sophie Reinhardt</t>
        </is>
      </c>
    </row>
    <row r="139" ht="12.75" customHeight="1" s="510">
      <c r="A139" s="363" t="n"/>
      <c r="B139" s="349" t="n"/>
      <c r="C139" s="349" t="n"/>
      <c r="D139" s="349" t="n"/>
      <c r="E139" s="349" t="n"/>
      <c r="F139" s="405" t="n"/>
      <c r="G139" s="405" t="n"/>
      <c r="H139" s="405" t="n"/>
      <c r="I139" s="405" t="n"/>
      <c r="J139" s="65" t="n"/>
    </row>
    <row r="140" ht="14.25" customHeight="1" s="510">
      <c r="A140" s="363" t="n"/>
      <c r="B140" s="349" t="inlineStr">
        <is>
          <t>Beruf / Ausbildung</t>
        </is>
      </c>
      <c r="J140" s="64" t="inlineStr">
        <is>
          <t>Master of Science Architektur</t>
        </is>
      </c>
    </row>
    <row r="141" ht="12.75" customHeight="1" s="510">
      <c r="A141" s="363" t="n"/>
      <c r="B141" s="349" t="n"/>
      <c r="C141" s="349" t="n"/>
      <c r="D141" s="349" t="n"/>
      <c r="E141" s="349" t="n"/>
      <c r="F141" s="405" t="n"/>
      <c r="G141" s="405" t="n"/>
      <c r="H141" s="405" t="n"/>
      <c r="I141" s="405" t="n"/>
      <c r="J141" s="65" t="n"/>
    </row>
    <row r="142" ht="14.25" customHeight="1" s="510">
      <c r="A142" s="363" t="n"/>
      <c r="B142" s="349" t="inlineStr">
        <is>
          <t>Berufliche Nachweise in Kopie sind beizulegen</t>
        </is>
      </c>
      <c r="F142" s="62" t="n"/>
      <c r="G142" s="356" t="inlineStr">
        <is>
          <t xml:space="preserve"> </t>
        </is>
      </c>
      <c r="I142" s="62" t="inlineStr">
        <is>
          <t>Anlage Nr.</t>
        </is>
      </c>
      <c r="J142" s="64" t="n"/>
    </row>
    <row r="143" ht="12.75" customHeight="1" s="510">
      <c r="A143" s="363" t="n"/>
      <c r="B143" s="298" t="n"/>
      <c r="C143" s="298" t="n"/>
      <c r="D143" s="299" t="n"/>
      <c r="E143" s="298" t="n"/>
      <c r="F143" s="62" t="n"/>
      <c r="G143" s="356" t="n"/>
      <c r="H143" s="356" t="n"/>
      <c r="I143" s="62" t="n"/>
      <c r="J143" s="65" t="n"/>
    </row>
    <row r="144" ht="14.25" customHeight="1" s="510">
      <c r="A144" s="363" t="n"/>
      <c r="B144" s="349" t="inlineStr">
        <is>
          <t>Beruflicher Lebenslauf (chronologische Kurzfassung) ist beizulegen</t>
        </is>
      </c>
      <c r="F144" s="62" t="n"/>
      <c r="G144" s="356" t="n"/>
      <c r="I144" s="273" t="inlineStr">
        <is>
          <t xml:space="preserve">Anlage Nr. </t>
        </is>
      </c>
      <c r="J144" s="64" t="n"/>
    </row>
    <row r="145" ht="12.75" customHeight="1" s="510">
      <c r="A145" s="363" t="n"/>
      <c r="B145" s="349" t="n"/>
      <c r="C145" s="349" t="n"/>
      <c r="D145" s="263" t="n"/>
      <c r="E145" s="349" t="n"/>
      <c r="F145" s="62" t="n"/>
      <c r="G145" s="62" t="n"/>
      <c r="H145" s="356" t="n"/>
      <c r="I145" s="62" t="n"/>
      <c r="J145" s="65" t="n"/>
    </row>
    <row r="146">
      <c r="A146" s="363" t="n"/>
      <c r="B146" s="349" t="inlineStr">
        <is>
          <t>ggf. zusätzliche Qualifikationen im Hinblick auf</t>
        </is>
      </c>
      <c r="J146" s="348" t="n"/>
    </row>
    <row r="147" ht="18" customHeight="1" s="510">
      <c r="A147" s="363" t="n"/>
      <c r="B147" s="349" t="inlineStr">
        <is>
          <t>die Projektaufgabe</t>
        </is>
      </c>
      <c r="J147" s="574" t="n"/>
    </row>
    <row r="148" ht="12.75" customHeight="1" s="510">
      <c r="A148" s="363" t="n"/>
      <c r="B148" s="362" t="n"/>
      <c r="C148" s="362" t="n"/>
      <c r="D148" s="362" t="n"/>
      <c r="E148" s="349" t="n"/>
      <c r="F148" s="62" t="n"/>
      <c r="G148" s="62" t="n"/>
      <c r="H148" s="62" t="n"/>
      <c r="I148" s="62" t="n"/>
      <c r="J148" s="65" t="n"/>
    </row>
    <row r="149">
      <c r="A149" s="363" t="n"/>
      <c r="B149" s="349" t="n"/>
      <c r="C149" s="349" t="n"/>
      <c r="D149" s="349" t="inlineStr">
        <is>
          <t>Firmenposition</t>
        </is>
      </c>
      <c r="J149" s="64" t="inlineStr">
        <is>
          <t>Senior Projektleiterin Objektplanung Gebäude</t>
        </is>
      </c>
    </row>
    <row r="150" ht="27" customHeight="1" s="510">
      <c r="A150" s="251" t="n"/>
      <c r="C150" s="62" t="n"/>
      <c r="D150" s="62" t="n"/>
      <c r="E150" s="62" t="n"/>
      <c r="F150" s="62" t="n"/>
      <c r="G150" s="62" t="n"/>
      <c r="H150" s="62" t="n"/>
      <c r="I150" s="62" t="n"/>
      <c r="J150" s="65" t="n"/>
    </row>
    <row r="151">
      <c r="A151" s="226" t="n"/>
      <c r="B151" s="300" t="n"/>
      <c r="C151" s="301" t="n"/>
      <c r="D151" s="301" t="n"/>
      <c r="E151" s="301" t="n"/>
      <c r="F151" s="301" t="n"/>
      <c r="G151" s="301" t="n"/>
      <c r="H151" s="301" t="n"/>
      <c r="I151" s="301" t="n"/>
      <c r="J151" s="88" t="n"/>
    </row>
    <row r="152">
      <c r="A152" s="259" t="n"/>
      <c r="B152" s="302" t="n"/>
      <c r="C152" s="302" t="n"/>
      <c r="D152" s="302" t="n"/>
      <c r="E152" s="302" t="n"/>
      <c r="F152" s="302" t="n"/>
      <c r="G152" s="302" t="n"/>
      <c r="H152" s="302" t="n"/>
      <c r="I152" s="302" t="n"/>
      <c r="J152" s="65" t="n"/>
    </row>
    <row r="153" ht="27" customHeight="1" s="510">
      <c r="A153" s="229" t="inlineStr">
        <is>
          <t>9.2</t>
        </is>
      </c>
      <c r="B153" s="350" t="inlineStr">
        <is>
          <t>stellv. Projektleitung (mit Berufsabschluss/Berufsbezeichnung als Architekt)</t>
        </is>
      </c>
      <c r="F153" s="62" t="n"/>
      <c r="G153" s="62" t="n"/>
      <c r="H153" s="62" t="n"/>
      <c r="I153" s="62" t="n"/>
      <c r="J153" s="65" t="n"/>
    </row>
    <row r="154">
      <c r="A154" s="229" t="n"/>
      <c r="B154" s="380" t="n"/>
      <c r="C154" s="380" t="n"/>
      <c r="D154" s="380" t="n"/>
      <c r="E154" s="380" t="n"/>
      <c r="F154" s="62" t="n"/>
      <c r="G154" s="62" t="n"/>
      <c r="H154" s="62" t="n"/>
      <c r="I154" s="62" t="n"/>
      <c r="J154" s="65" t="n"/>
    </row>
    <row r="155" ht="14.1" customHeight="1" s="510">
      <c r="A155" s="229" t="n"/>
      <c r="B155" s="380" t="inlineStr">
        <is>
          <t>Name</t>
        </is>
      </c>
      <c r="C155" s="380" t="n"/>
      <c r="D155" s="380" t="n"/>
      <c r="E155" s="231" t="n"/>
      <c r="J155" s="64" t="inlineStr">
        <is>
          <t>Dipl.-Ing. Architekt Jonas Feldmann</t>
        </is>
      </c>
    </row>
    <row r="156" ht="12.75" customHeight="1" s="510">
      <c r="A156" s="229" t="n"/>
      <c r="B156" s="380" t="n"/>
      <c r="C156" s="380" t="n"/>
      <c r="D156" s="380" t="n"/>
      <c r="E156" s="380" t="n"/>
      <c r="F156" s="405" t="n"/>
      <c r="G156" s="405" t="n"/>
      <c r="H156" s="405" t="n"/>
      <c r="I156" s="405" t="n"/>
      <c r="J156" s="65" t="n"/>
    </row>
    <row r="157" ht="15" customHeight="1" s="510">
      <c r="A157" s="229" t="n"/>
      <c r="B157" s="380" t="inlineStr">
        <is>
          <t>Beruf / Ausbildung</t>
        </is>
      </c>
      <c r="C157" s="380" t="n"/>
      <c r="D157" s="380" t="n"/>
      <c r="E157" s="231" t="n"/>
      <c r="J157" s="64" t="inlineStr">
        <is>
          <t>Diplom-Ingenieur Architektur</t>
        </is>
      </c>
    </row>
    <row r="158" ht="12.75" customHeight="1" s="510">
      <c r="A158" s="229" t="n"/>
      <c r="B158" s="380" t="n"/>
      <c r="C158" s="380" t="n"/>
      <c r="D158" s="380" t="n"/>
      <c r="E158" s="380" t="n"/>
      <c r="F158" s="405" t="n"/>
      <c r="G158" s="405" t="n"/>
      <c r="H158" s="405" t="n"/>
      <c r="I158" s="405" t="n"/>
      <c r="J158" s="65" t="n"/>
    </row>
    <row r="159" ht="12" customHeight="1" s="510">
      <c r="A159" s="229" t="n"/>
      <c r="B159" s="380" t="inlineStr">
        <is>
          <t>Berufliche Nachweise in Kopie sind beizulegen</t>
        </is>
      </c>
      <c r="C159" s="303" t="n"/>
      <c r="D159" s="304" t="n"/>
      <c r="E159" s="303" t="n"/>
      <c r="F159" s="62" t="n"/>
      <c r="G159" s="356" t="n"/>
      <c r="I159" s="62" t="inlineStr">
        <is>
          <t xml:space="preserve">Anlage Nr. </t>
        </is>
      </c>
      <c r="J159" s="64" t="n"/>
    </row>
    <row r="160" ht="12.75" customHeight="1" s="510">
      <c r="A160" s="229" t="n"/>
      <c r="B160" s="303" t="n"/>
      <c r="C160" s="303" t="n"/>
      <c r="D160" s="304" t="n"/>
      <c r="E160" s="303" t="n"/>
      <c r="F160" s="62" t="n"/>
      <c r="G160" s="356" t="n"/>
      <c r="H160" s="356" t="n"/>
      <c r="I160" s="62" t="n"/>
      <c r="J160" s="65" t="n"/>
    </row>
    <row r="161">
      <c r="A161" s="229" t="n"/>
      <c r="B161" s="380" t="inlineStr">
        <is>
          <t>Beruflicher Lebenslauf (chronologische Kurzfassung) ist beizulegen</t>
        </is>
      </c>
      <c r="C161" s="303" t="n"/>
      <c r="D161" s="304" t="n"/>
      <c r="E161" s="303" t="n"/>
      <c r="F161" s="62" t="n"/>
      <c r="G161" s="356" t="n"/>
      <c r="I161" s="62" t="inlineStr">
        <is>
          <t xml:space="preserve">Anlage Nr. </t>
        </is>
      </c>
      <c r="J161" s="64" t="n"/>
    </row>
    <row r="162" ht="12.75" customHeight="1" s="510">
      <c r="A162" s="229" t="n"/>
      <c r="B162" s="380" t="n"/>
      <c r="C162" s="380" t="n"/>
      <c r="D162" s="380" t="n"/>
      <c r="E162" s="380" t="n"/>
      <c r="F162" s="405" t="n"/>
      <c r="G162" s="405" t="n"/>
      <c r="H162" s="405" t="n"/>
      <c r="I162" s="405" t="n"/>
      <c r="J162" s="65" t="n"/>
    </row>
    <row r="163">
      <c r="A163" s="229" t="n"/>
      <c r="B163" s="380" t="inlineStr">
        <is>
          <t xml:space="preserve">ggf. zusätzliche Qualifikationen im Hinblick auf </t>
        </is>
      </c>
      <c r="C163" s="380" t="n"/>
      <c r="D163" s="380" t="n"/>
      <c r="E163" s="380" t="n"/>
      <c r="J163" s="348" t="n"/>
    </row>
    <row r="164">
      <c r="A164" s="229" t="n"/>
      <c r="B164" s="380" t="inlineStr">
        <is>
          <t>die Projektaufgabe</t>
        </is>
      </c>
      <c r="C164" s="380" t="n"/>
      <c r="D164" s="380" t="n"/>
      <c r="E164" s="380" t="n"/>
      <c r="J164" s="574" t="n"/>
    </row>
    <row r="165" ht="12.75" customHeight="1" s="510">
      <c r="A165" s="229" t="n"/>
      <c r="B165" s="380" t="n"/>
      <c r="C165" s="380" t="n"/>
      <c r="D165" s="380" t="n"/>
      <c r="E165" s="380" t="n"/>
      <c r="F165" s="405" t="n"/>
      <c r="G165" s="405" t="n"/>
      <c r="H165" s="405" t="n"/>
      <c r="I165" s="405" t="n"/>
      <c r="J165" s="65" t="n"/>
    </row>
    <row r="166" ht="14.1" customHeight="1" s="510">
      <c r="A166" s="363" t="n"/>
      <c r="B166" s="349" t="n"/>
      <c r="C166" s="349" t="n"/>
      <c r="D166" s="349" t="inlineStr">
        <is>
          <t>Firmenposition</t>
        </is>
      </c>
      <c r="J166" s="64" t="inlineStr">
        <is>
          <t>Senior Architect / Deputy Project Manager</t>
        </is>
      </c>
    </row>
    <row r="167" ht="15" customHeight="1" s="510">
      <c r="A167" s="305" t="n"/>
      <c r="B167" s="306" t="n"/>
      <c r="C167" s="306" t="n"/>
      <c r="D167" s="306" t="n"/>
      <c r="E167" s="306" t="n"/>
      <c r="F167" s="307" t="n"/>
      <c r="G167" s="307" t="n"/>
      <c r="H167" s="307" t="n"/>
      <c r="I167" s="307" t="n"/>
      <c r="J167" s="88" t="n"/>
    </row>
    <row r="168" ht="15" customHeight="1" s="510">
      <c r="A168" s="308" t="n"/>
      <c r="B168" s="309" t="n"/>
      <c r="C168" s="309" t="n"/>
      <c r="D168" s="309" t="n"/>
      <c r="E168" s="309" t="n"/>
      <c r="F168" s="310" t="n"/>
      <c r="G168" s="310" t="n"/>
      <c r="H168" s="310" t="n"/>
      <c r="I168" s="310" t="n"/>
      <c r="J168" s="89" t="n"/>
    </row>
    <row r="169" ht="54" customHeight="1" s="510">
      <c r="A169" s="363" t="inlineStr">
        <is>
          <t>9.3</t>
        </is>
      </c>
      <c r="B169" s="350" t="inlineStr">
        <is>
          <t>der für das konkrete Projekt für die Bauleitung vorgesehene Verantwortliche (Bauleiter mit Berufsabschluss/Berufsbezeichnung als Ingenieur, Architekt, Meister, Techniker oder vergleichbar - jeweils Fachrichtung Bau)</t>
        </is>
      </c>
      <c r="J169" s="90" t="n"/>
    </row>
    <row r="170" ht="14.1" customHeight="1" s="510">
      <c r="A170" s="363" t="n"/>
      <c r="B170" s="349" t="n"/>
      <c r="C170" s="349" t="n"/>
      <c r="D170" s="349" t="n"/>
      <c r="E170" s="349" t="n"/>
      <c r="F170" s="349" t="n"/>
      <c r="J170" s="90" t="n"/>
    </row>
    <row r="171" ht="12.75" customHeight="1" s="510">
      <c r="A171" s="229" t="n"/>
      <c r="B171" s="380" t="inlineStr">
        <is>
          <t>Name</t>
        </is>
      </c>
      <c r="C171" s="380" t="n"/>
      <c r="D171" s="380" t="n"/>
      <c r="E171" s="231" t="n"/>
      <c r="J171" s="64" t="n"/>
    </row>
    <row r="172" ht="12.75" customHeight="1" s="510">
      <c r="A172" s="229" t="n"/>
      <c r="B172" s="380" t="n"/>
      <c r="C172" s="380" t="n"/>
      <c r="D172" s="380" t="n"/>
      <c r="E172" s="380" t="n"/>
      <c r="F172" s="405" t="n"/>
      <c r="G172" s="405" t="n"/>
      <c r="H172" s="405" t="n"/>
      <c r="I172" s="405" t="n"/>
      <c r="J172" s="65" t="n"/>
    </row>
    <row r="173" ht="12.75" customHeight="1" s="510">
      <c r="A173" s="229" t="n"/>
      <c r="B173" s="380" t="inlineStr">
        <is>
          <t>Beruf / Ausbildung</t>
        </is>
      </c>
      <c r="C173" s="380" t="n"/>
      <c r="D173" s="380" t="n"/>
      <c r="E173" s="231" t="n"/>
      <c r="J173" s="64" t="n"/>
    </row>
    <row r="174" ht="12.75" customHeight="1" s="510">
      <c r="A174" s="229" t="n"/>
      <c r="B174" s="380" t="n"/>
      <c r="C174" s="380" t="n"/>
      <c r="D174" s="380" t="n"/>
      <c r="E174" s="380" t="n"/>
      <c r="F174" s="405" t="n"/>
      <c r="G174" s="405" t="n"/>
      <c r="H174" s="405" t="n"/>
      <c r="I174" s="405" t="n"/>
      <c r="J174" s="65" t="n"/>
    </row>
    <row r="175" ht="12.75" customHeight="1" s="510">
      <c r="A175" s="229" t="n"/>
      <c r="B175" s="380" t="inlineStr">
        <is>
          <t>Berufliche Nachweise in Kopie sind beizulegen</t>
        </is>
      </c>
      <c r="C175" s="303" t="n"/>
      <c r="D175" s="304" t="n"/>
      <c r="E175" s="303" t="n"/>
      <c r="F175" s="62" t="n"/>
      <c r="G175" s="356" t="n"/>
      <c r="I175" s="62" t="inlineStr">
        <is>
          <t xml:space="preserve">Anlage Nr. </t>
        </is>
      </c>
      <c r="J175" s="64" t="n"/>
    </row>
    <row r="176" ht="12.75" customHeight="1" s="510">
      <c r="A176" s="229" t="n"/>
      <c r="B176" s="303" t="n"/>
      <c r="C176" s="303" t="n"/>
      <c r="D176" s="304" t="n"/>
      <c r="E176" s="303" t="n"/>
      <c r="F176" s="62" t="n"/>
      <c r="G176" s="356" t="n"/>
      <c r="H176" s="356" t="n"/>
      <c r="I176" s="62" t="n"/>
      <c r="J176" s="65" t="n"/>
    </row>
    <row r="177" ht="12.75" customHeight="1" s="510">
      <c r="A177" s="229" t="n"/>
      <c r="B177" s="380" t="inlineStr">
        <is>
          <t>Beruflicher Lebenslauf (chronologische Kurzfassung) ist beizulegen</t>
        </is>
      </c>
      <c r="C177" s="303" t="n"/>
      <c r="D177" s="304" t="n"/>
      <c r="E177" s="303" t="n"/>
      <c r="F177" s="62" t="n"/>
      <c r="G177" s="356" t="n"/>
      <c r="I177" s="62" t="inlineStr">
        <is>
          <t xml:space="preserve">Anlage Nr. </t>
        </is>
      </c>
      <c r="J177" s="64" t="n"/>
    </row>
    <row r="178" ht="12.75" customHeight="1" s="510">
      <c r="A178" s="229" t="n"/>
      <c r="B178" s="303" t="n"/>
      <c r="C178" s="303" t="n"/>
      <c r="D178" s="303" t="n"/>
      <c r="E178" s="303" t="n"/>
      <c r="F178" s="405" t="n"/>
      <c r="G178" s="405" t="n"/>
      <c r="H178" s="405" t="n"/>
      <c r="I178" s="405" t="n"/>
      <c r="J178" s="65" t="n"/>
    </row>
    <row r="179" ht="12.75" customHeight="1" s="510">
      <c r="A179" s="363" t="n"/>
      <c r="B179" s="349" t="n"/>
      <c r="C179" s="349" t="n"/>
      <c r="D179" s="349" t="inlineStr">
        <is>
          <t>Firmenposition</t>
        </is>
      </c>
      <c r="J179" s="64" t="n"/>
    </row>
    <row r="180">
      <c r="A180" s="305" t="n"/>
      <c r="B180" s="311" t="n"/>
      <c r="C180" s="311" t="n"/>
      <c r="D180" s="311" t="n"/>
      <c r="E180" s="311" t="n"/>
      <c r="F180" s="307" t="n"/>
      <c r="G180" s="307" t="n"/>
      <c r="H180" s="307" t="n"/>
      <c r="I180" s="307" t="n"/>
      <c r="J180" s="98" t="n"/>
    </row>
    <row r="181">
      <c r="A181" s="259" t="n"/>
      <c r="B181" s="245" t="n"/>
      <c r="C181" s="245" t="n"/>
      <c r="D181" s="245" t="n"/>
      <c r="E181" s="245" t="n"/>
      <c r="F181" s="245" t="n"/>
      <c r="G181" s="245" t="n"/>
      <c r="H181" s="245" t="n"/>
      <c r="I181" s="245" t="n"/>
      <c r="J181" s="30" t="n"/>
    </row>
    <row r="182">
      <c r="A182" s="229" t="inlineStr">
        <is>
          <t>10</t>
        </is>
      </c>
      <c r="B182" s="230" t="inlineStr">
        <is>
          <t xml:space="preserve"> VgV § 42 + § 5</t>
        </is>
      </c>
      <c r="C182" s="232" t="n"/>
      <c r="D182" s="350" t="inlineStr">
        <is>
          <t>Erklärung zur freiberuflichen und unabhängigen Tätigkeit sowie Richtigkeit der Angaben</t>
        </is>
      </c>
      <c r="J182" s="29" t="n"/>
    </row>
    <row r="183">
      <c r="A183" s="229" t="n"/>
      <c r="B183" s="232" t="n"/>
      <c r="C183" s="232" t="n"/>
      <c r="D183" s="230" t="inlineStr">
        <is>
          <t>Wahrung der Vertraulichkeit</t>
        </is>
      </c>
      <c r="E183" s="230" t="n"/>
      <c r="F183" s="232" t="n"/>
      <c r="G183" s="232" t="n"/>
      <c r="H183" s="232" t="n"/>
      <c r="I183" s="232" t="n"/>
      <c r="J183" s="29" t="n"/>
    </row>
    <row r="184">
      <c r="A184" s="229" t="n"/>
      <c r="B184" s="232" t="n"/>
      <c r="C184" s="232" t="n"/>
      <c r="D184" s="380" t="inlineStr">
        <is>
          <t>Hierzu ist das ausgefüllte Beiblatt 'Erklärung' beizulegen.</t>
        </is>
      </c>
      <c r="E184" s="230" t="n"/>
      <c r="F184" s="232" t="n"/>
      <c r="G184" s="232" t="n"/>
      <c r="H184" s="232" t="n"/>
      <c r="I184" s="380" t="inlineStr">
        <is>
          <t xml:space="preserve">Anlage Nr. </t>
        </is>
      </c>
      <c r="J184" s="97" t="n"/>
    </row>
    <row r="185">
      <c r="A185" s="226" t="n"/>
      <c r="B185" s="1" t="n"/>
      <c r="C185" s="1" t="n"/>
      <c r="D185" s="1" t="n"/>
      <c r="E185" s="1" t="n"/>
      <c r="F185" s="1" t="n"/>
      <c r="G185" s="1" t="n"/>
      <c r="H185" s="312" t="n"/>
      <c r="I185" s="1" t="n"/>
      <c r="J185" s="31" t="n"/>
    </row>
    <row r="186">
      <c r="A186" s="259" t="n"/>
      <c r="B186" s="245" t="n"/>
      <c r="C186" s="260" t="n"/>
      <c r="D186" s="260" t="n"/>
      <c r="E186" s="260" t="n"/>
      <c r="F186" s="260" t="n"/>
      <c r="G186" s="260" t="n"/>
      <c r="H186" s="245" t="n"/>
      <c r="I186" s="245" t="n"/>
      <c r="J186" s="30" t="n"/>
    </row>
    <row r="187">
      <c r="A187" s="229" t="inlineStr">
        <is>
          <t>11</t>
        </is>
      </c>
      <c r="B187" s="230" t="inlineStr">
        <is>
          <t>Fachkunde, Erfahrung gem. § 46 (1) VgV</t>
        </is>
      </c>
      <c r="C187" s="380" t="n"/>
      <c r="D187" s="380" t="n"/>
      <c r="E187" s="231" t="n"/>
      <c r="J187" s="108" t="n"/>
    </row>
    <row r="188">
      <c r="A188" s="229" t="n"/>
      <c r="B188" s="380" t="n"/>
      <c r="C188" s="380" t="n"/>
      <c r="D188" s="380" t="n"/>
      <c r="E188" s="231" t="n"/>
      <c r="J188" s="108" t="n"/>
    </row>
    <row r="189">
      <c r="A189" s="251" t="n"/>
      <c r="B189" s="230" t="inlineStr">
        <is>
          <t>Referenznachweise des Bewerbers (Büroreferenzen)</t>
        </is>
      </c>
      <c r="C189" s="230" t="n"/>
      <c r="D189" s="230" t="n"/>
      <c r="E189" s="230" t="n"/>
      <c r="F189" s="230" t="n"/>
      <c r="G189" s="230" t="n"/>
      <c r="H189" s="380" t="n"/>
      <c r="I189" s="380" t="n"/>
      <c r="J189" s="65" t="n"/>
    </row>
    <row r="190" ht="16.5" customHeight="1" s="510">
      <c r="A190" s="251" t="n"/>
      <c r="B190" s="230" t="n"/>
      <c r="C190" s="230" t="n"/>
      <c r="D190" s="230" t="n"/>
      <c r="E190" s="230" t="n"/>
      <c r="F190" s="230" t="n"/>
      <c r="G190" s="230" t="n"/>
      <c r="H190" s="380" t="n"/>
      <c r="I190" s="380" t="n"/>
      <c r="J190" s="65" t="n"/>
    </row>
    <row r="191">
      <c r="A191" s="251" t="n"/>
      <c r="B191" s="349" t="inlineStr">
        <is>
          <t>Es sollen Projekte als Referenzen beigefügt werden, deren Auswahl sich zur Beurteilung der fachlichen Eignung an der Vergleichbarkeit (Projektbeschreibung, Projektgröße, usw.) zur gestellten Bauaufgabe orientiert. Nachgewiesen werden soll die Erfahrung mit vergleichbaren Projekten.</t>
        </is>
      </c>
      <c r="J191" s="65" t="n"/>
    </row>
    <row r="192" ht="47.25" customHeight="1" s="510">
      <c r="A192" s="251" t="n"/>
      <c r="J192" s="65" t="n"/>
    </row>
    <row r="193">
      <c r="A193" s="251" t="n"/>
      <c r="B193" s="349" t="n"/>
      <c r="C193" s="349" t="n"/>
      <c r="D193" s="349" t="n"/>
      <c r="E193" s="349" t="n"/>
      <c r="F193" s="349" t="n"/>
      <c r="G193" s="349" t="n"/>
      <c r="H193" s="349" t="n"/>
      <c r="I193" s="349" t="n"/>
      <c r="J193" s="65" t="n"/>
    </row>
    <row r="194" ht="150.75" customHeight="1" s="510">
      <c r="A194" s="251" t="n"/>
      <c r="B194" s="576" t="inlineStr">
        <is>
          <t>Der Bearbeitungszeitraum der Referenzobjekte erstreckt sich auf den Zeitraum 01.06.2019 - Veröffentlichungsdatum. Die Referenzobjekte (mindestens 2) finden nur insoweit Berücksichtigung, als die Fertigstellung (Abnahme der Bauleistungen) in obigem Zeitraum erfolgte sowie alle weiteren Mindestkriterien erfüllt sind.
Die Referenzen werden gemäß beiliegendem Bewertungsschema Referenzen ausgewertet und bepunktet. Es werden zu unten aufgelisteter Aufgabenstellungen/Kriterien 0 bis 5 Punkte gemäß Punkteschema vergeben. Es wird ein Mittelwert aus den einzelnen Referenz-Auswertungen gebildet. Das Gesamtpunkte-Ergebnis wird gemäß Bewertungsschema Referenzen - wie in der Zeile Punktevergabe festgelegt - eingestuft und in die Gesamtauswertung der Stufe I übernommen.</t>
        </is>
      </c>
      <c r="I194" s="511" t="n"/>
      <c r="J194" s="65" t="n"/>
    </row>
    <row r="195" ht="56.25" customFormat="1" customHeight="1" s="273">
      <c r="A195" s="251" t="n"/>
      <c r="B195" s="580" t="inlineStr">
        <is>
          <t xml:space="preserve">Die Vergleichbarkeit wird anhand folgender Kriterien beurteilt: 
Mindestkriterien:
Es werden nur Referenzen gewertet welche die folgenden Kriterien zwingend erfüllen:
</t>
        </is>
      </c>
      <c r="I195" s="511" t="n"/>
      <c r="J195" s="65" t="n"/>
    </row>
    <row r="196" ht="15" customFormat="1" customHeight="1" s="273">
      <c r="A196" s="330" t="n"/>
      <c r="B196" s="331" t="n">
        <v>1</v>
      </c>
      <c r="C196" s="379">
        <f>IF(ISNUMBER(SEARCH("Mindest",'Bewertungsschema Referenzen'!A8)),'Bewertungsschema Referenzen'!B8,"-")</f>
        <v/>
      </c>
      <c r="I196" s="511" t="n"/>
      <c r="J196" s="65" t="n"/>
    </row>
    <row r="197" ht="15" customFormat="1" customHeight="1" s="273">
      <c r="A197" s="330" t="n"/>
      <c r="B197" s="331" t="n">
        <v>2</v>
      </c>
      <c r="C197" s="379">
        <f>IF(ISNUMBER(SEARCH("Mindest",'Bewertungsschema Referenzen'!A9)),'Bewertungsschema Referenzen'!B9,"-")</f>
        <v/>
      </c>
      <c r="I197" s="511" t="n"/>
      <c r="J197" s="65" t="n"/>
    </row>
    <row r="198" ht="15" customFormat="1" customHeight="1" s="273">
      <c r="A198" s="251" t="n"/>
      <c r="B198" s="331" t="n">
        <v>3</v>
      </c>
      <c r="C198" s="379">
        <f>IF(ISNUMBER(SEARCH("Mindest",'Bewertungsschema Referenzen'!A10)),'Bewertungsschema Referenzen'!B10,"-")</f>
        <v/>
      </c>
      <c r="I198" s="511" t="n"/>
      <c r="J198" s="65" t="n"/>
    </row>
    <row r="199" ht="48" customFormat="1" customHeight="1" s="273">
      <c r="A199" s="251" t="n"/>
      <c r="B199" s="580" t="inlineStr">
        <is>
          <t xml:space="preserve">Wettbewerbskriterien:
Folgende Kriterien werden als Kriterien im Rahmen des Teilnahmewettbewerbs zusätzlich herangezogen:
</t>
        </is>
      </c>
      <c r="I199" s="511" t="n"/>
      <c r="J199" s="65" t="n"/>
      <c r="N199" s="62" t="n"/>
    </row>
    <row r="200" ht="15" customFormat="1" customHeight="1" s="273">
      <c r="A200" s="251" t="n"/>
      <c r="B200" s="331" t="n">
        <v>1</v>
      </c>
      <c r="C200" s="379">
        <f>IF(ISNUMBER(SEARCH("Wettbewerb",'Bewertungsschema Referenzen'!A10)),'Bewertungsschema Referenzen'!B10,"-")</f>
        <v/>
      </c>
      <c r="I200" s="511" t="n"/>
      <c r="J200" s="65" t="n"/>
    </row>
    <row r="201" ht="15" customFormat="1" customHeight="1" s="273">
      <c r="A201" s="251" t="n"/>
      <c r="B201" s="331" t="n">
        <v>2</v>
      </c>
      <c r="C201" s="379">
        <f>IF(ISNUMBER(SEARCH("Wettbewerb",'Bewertungsschema Referenzen'!A11)),'Bewertungsschema Referenzen'!B11,"-")</f>
        <v/>
      </c>
      <c r="I201" s="511" t="n"/>
      <c r="J201" s="65" t="n"/>
    </row>
    <row r="202" ht="15" customFormat="1" customHeight="1" s="273">
      <c r="A202" s="251" t="n"/>
      <c r="B202" s="331" t="n">
        <v>3</v>
      </c>
      <c r="C202" s="379">
        <f>IF(ISNUMBER(SEARCH("Wettbewerb",'Bewertungsschema Referenzen'!A12)),'Bewertungsschema Referenzen'!B12,"-")</f>
        <v/>
      </c>
      <c r="I202" s="511" t="n"/>
      <c r="J202" s="65" t="n"/>
    </row>
    <row r="203" ht="15" customFormat="1" customHeight="1" s="273">
      <c r="A203" s="251" t="n"/>
      <c r="B203" s="331" t="n">
        <v>4</v>
      </c>
      <c r="C203" s="379">
        <f>IF(ISNUMBER(SEARCH("Wettbewerb",'Bewertungsschema Referenzen'!A13)),'Bewertungsschema Referenzen'!B13,"-")</f>
        <v/>
      </c>
      <c r="I203" s="511" t="n"/>
      <c r="J203" s="65" t="n"/>
    </row>
    <row r="204" ht="15" customFormat="1" customHeight="1" s="273">
      <c r="A204" s="251" t="n"/>
      <c r="B204" s="331" t="n">
        <v>5</v>
      </c>
      <c r="C204" s="379">
        <f>IF(ISNUMBER(SEARCH("Wettbewerb",'Bewertungsschema Referenzen'!A14)),'Bewertungsschema Referenzen'!B14,"-")</f>
        <v/>
      </c>
      <c r="I204" s="511" t="n"/>
      <c r="J204" s="65" t="n"/>
    </row>
    <row r="205" ht="15" customFormat="1" customHeight="1" s="273">
      <c r="A205" s="251" t="n"/>
      <c r="B205" s="331" t="n">
        <v>6</v>
      </c>
      <c r="C205" s="379">
        <f>IF(ISNUMBER(SEARCH("Wettbewerb",'Bewertungsschema Referenzen'!A15)),'Bewertungsschema Referenzen'!B15,"-")</f>
        <v/>
      </c>
      <c r="I205" s="511" t="n"/>
      <c r="J205" s="65" t="n"/>
    </row>
    <row r="206" ht="15" customFormat="1" customHeight="1" s="273">
      <c r="A206" s="251" t="n"/>
      <c r="B206" s="331" t="n">
        <v>7</v>
      </c>
      <c r="C206" s="379">
        <f>IF(ISNUMBER(SEARCH("Wettbewerb",'Bewertungsschema Referenzen'!A16)),'Bewertungsschema Referenzen'!B16,"-")</f>
        <v/>
      </c>
      <c r="I206" s="511" t="n"/>
      <c r="J206" s="65" t="n"/>
    </row>
    <row r="207" ht="15" customFormat="1" customHeight="1" s="273">
      <c r="A207" s="251" t="n"/>
      <c r="B207" s="331" t="n">
        <v>8</v>
      </c>
      <c r="C207" s="379">
        <f>IF(ISNUMBER(SEARCH("Wettbewerb",'Bewertungsschema Referenzen'!A17)),'Bewertungsschema Referenzen'!B17,"-")</f>
        <v/>
      </c>
      <c r="I207" s="511" t="n"/>
      <c r="J207" s="65" t="n"/>
    </row>
    <row r="208" ht="15" customFormat="1" customHeight="1" s="273">
      <c r="A208" s="251" t="n"/>
      <c r="B208" s="331" t="n">
        <v>9</v>
      </c>
      <c r="C208" s="379">
        <f>IF(ISNUMBER(SEARCH("Wettbewerb",'Bewertungsschema Referenzen'!A18)),'Bewertungsschema Referenzen'!B18,"-")</f>
        <v/>
      </c>
      <c r="I208" s="511" t="n"/>
      <c r="J208" s="65" t="n"/>
    </row>
    <row r="209" ht="12.75" customFormat="1" customHeight="1" s="273">
      <c r="A209" s="251" t="n"/>
      <c r="B209" s="371" t="inlineStr">
        <is>
          <t>Hierzu ist das ausgefüllte Beiblatt 'Büroreferenz (1, 2, ff)', sowie ein Beiblatt mit detaillierter Projektbeschreibung beizulegen. Pro Referenz sind nicht mehr als 5 Zusatzblätter zur Beschreibung des Projekts erwünscht.</t>
        </is>
      </c>
      <c r="J209" s="65" t="n"/>
    </row>
    <row r="210" ht="34.5" customFormat="1" customHeight="1" s="273">
      <c r="A210" s="251" t="n"/>
      <c r="J210" s="65" t="n"/>
    </row>
    <row r="211">
      <c r="A211" s="251" t="n"/>
      <c r="B211" s="380" t="n"/>
      <c r="C211" s="380" t="n"/>
      <c r="D211" s="383" t="inlineStr">
        <is>
          <t>Anzahl der beigefügten Referenznachweise Büro:</t>
        </is>
      </c>
      <c r="I211" s="511" t="n"/>
      <c r="J211" s="64" t="inlineStr">
        <is>
          <t>5</t>
        </is>
      </c>
    </row>
    <row r="212">
      <c r="A212" s="251" t="n"/>
      <c r="B212" s="380" t="n"/>
      <c r="C212" s="380" t="n"/>
      <c r="D212" s="380" t="n"/>
      <c r="E212" s="380" t="n"/>
      <c r="F212" s="380" t="n"/>
      <c r="G212" s="380" t="n"/>
      <c r="H212" s="380" t="n"/>
      <c r="I212" s="380" t="n"/>
      <c r="J212" s="65" t="n"/>
    </row>
    <row r="213">
      <c r="A213" s="251" t="n"/>
      <c r="B213" s="313" t="n"/>
      <c r="C213" s="230" t="n"/>
      <c r="D213" s="230" t="n"/>
      <c r="E213" s="230" t="n"/>
      <c r="F213" s="230" t="n"/>
      <c r="G213" s="230" t="n"/>
      <c r="H213" s="380" t="n"/>
      <c r="I213" s="380" t="n"/>
      <c r="J213" s="65" t="n"/>
    </row>
    <row r="214">
      <c r="A214" s="259" t="n"/>
      <c r="B214" s="302" t="n"/>
      <c r="C214" s="260" t="n"/>
      <c r="D214" s="260" t="n"/>
      <c r="E214" s="260" t="n"/>
      <c r="F214" s="260" t="n"/>
      <c r="G214" s="260" t="n"/>
      <c r="H214" s="302" t="n"/>
      <c r="I214" s="302" t="n"/>
      <c r="J214" s="107" t="n"/>
    </row>
    <row r="215">
      <c r="A215" s="229" t="inlineStr">
        <is>
          <t>12</t>
        </is>
      </c>
      <c r="B215" s="380" t="inlineStr">
        <is>
          <t>Sonstige ergänzende Angaben zur Bewerbung:</t>
        </is>
      </c>
      <c r="C215" s="380" t="n"/>
      <c r="D215" s="380" t="n"/>
      <c r="E215" s="380" t="n"/>
      <c r="F215" s="62" t="n"/>
      <c r="G215" s="62" t="n"/>
      <c r="H215" s="62" t="n"/>
      <c r="I215" s="62" t="n"/>
      <c r="J215" s="348" t="n"/>
    </row>
    <row r="216">
      <c r="A216" s="229" t="n"/>
      <c r="B216" s="231" t="n"/>
      <c r="C216" s="231" t="n"/>
      <c r="D216" s="231" t="n"/>
      <c r="E216" s="231" t="n"/>
      <c r="J216" s="575" t="n"/>
    </row>
    <row r="217">
      <c r="A217" s="229" t="n"/>
      <c r="B217" s="231" t="n"/>
      <c r="C217" s="231" t="n"/>
      <c r="D217" s="231" t="n"/>
      <c r="E217" s="231" t="n"/>
      <c r="J217" s="575" t="n"/>
    </row>
    <row r="218" ht="12.75" customHeight="1" s="510">
      <c r="A218" s="229" t="n"/>
      <c r="B218" s="231" t="n"/>
      <c r="C218" s="231" t="n"/>
      <c r="D218" s="231" t="n"/>
      <c r="E218" s="231" t="n"/>
      <c r="J218" s="575" t="n"/>
    </row>
    <row r="219">
      <c r="A219" s="229" t="n"/>
      <c r="B219" s="231" t="n"/>
      <c r="C219" s="231" t="n"/>
      <c r="D219" s="231" t="n"/>
      <c r="E219" s="231" t="n"/>
      <c r="J219" s="575" t="n"/>
    </row>
    <row r="220">
      <c r="A220" s="229" t="n"/>
      <c r="B220" s="231" t="n"/>
      <c r="C220" s="231" t="n"/>
      <c r="D220" s="231" t="n"/>
      <c r="E220" s="231" t="n"/>
      <c r="J220" s="575" t="n"/>
    </row>
    <row r="221">
      <c r="A221" s="229" t="n"/>
      <c r="B221" s="231" t="n"/>
      <c r="C221" s="231" t="n"/>
      <c r="D221" s="231" t="n"/>
      <c r="E221" s="231" t="n"/>
      <c r="I221" s="314" t="n"/>
      <c r="J221" s="574" t="n"/>
    </row>
    <row r="222">
      <c r="A222" s="226" t="n"/>
      <c r="B222" s="315" t="n"/>
      <c r="C222" s="269" t="n"/>
      <c r="D222" s="269" t="n"/>
      <c r="E222" s="269" t="n"/>
      <c r="F222" s="269" t="n"/>
      <c r="G222" s="269" t="n"/>
      <c r="H222" s="315" t="n"/>
      <c r="I222" s="315" t="n"/>
      <c r="J222" s="88" t="n"/>
    </row>
    <row r="223">
      <c r="A223" s="316" t="n"/>
      <c r="J223" s="106" t="n"/>
    </row>
    <row r="224">
      <c r="A224" s="316" t="n"/>
      <c r="J224" s="34" t="n"/>
    </row>
    <row r="225">
      <c r="A225" s="316" t="n"/>
      <c r="J225" s="34" t="n"/>
    </row>
  </sheetData>
  <sheetProtection selectLockedCells="0" selectUnlockedCells="0" algorithmName="SHA-512" sheet="1" objects="1" insertRows="1" insertHyperlinks="1" autoFilter="1" scenarios="1" formatColumns="1" deleteColumns="1" insertColumns="1" pivotTables="1" deleteRows="1" formatCells="1" saltValue="pt6epDc8a32jtLb7sfq11Q==" formatRows="1" sort="1" spinCount="100000" hashValue="BWaZK0R8Ofm2kAl3rb4ZOqDSAkslvNG9K4y7ppTYs2a+JGp1E1bTNGqz1SZEQPTZvGnouUENV6v5TYl1e8k2CQ=="/>
  <mergeCells count="106">
    <mergeCell ref="B146:E146"/>
    <mergeCell ref="G161:H161"/>
    <mergeCell ref="B74:E74"/>
    <mergeCell ref="B72:I72"/>
    <mergeCell ref="B199:I199"/>
    <mergeCell ref="B73:G73"/>
    <mergeCell ref="J146:J147"/>
    <mergeCell ref="D149:E149"/>
    <mergeCell ref="F118:G118"/>
    <mergeCell ref="B34:D34"/>
    <mergeCell ref="A2:I2"/>
    <mergeCell ref="J4:J5"/>
    <mergeCell ref="D211:I211"/>
    <mergeCell ref="B90:H90"/>
    <mergeCell ref="J67:J69"/>
    <mergeCell ref="F103:I103"/>
    <mergeCell ref="B93:E93"/>
    <mergeCell ref="B209:I210"/>
    <mergeCell ref="C200:I200"/>
    <mergeCell ref="B86:E86"/>
    <mergeCell ref="F95:I95"/>
    <mergeCell ref="B136:E136"/>
    <mergeCell ref="C202:I202"/>
    <mergeCell ref="J215:J221"/>
    <mergeCell ref="F120:G120"/>
    <mergeCell ref="F97:I97"/>
    <mergeCell ref="B38:E38"/>
    <mergeCell ref="C201:I201"/>
    <mergeCell ref="B36:I36"/>
    <mergeCell ref="B87:E87"/>
    <mergeCell ref="G59:H59"/>
    <mergeCell ref="B40:E40"/>
    <mergeCell ref="E50:I50"/>
    <mergeCell ref="C203:I203"/>
    <mergeCell ref="B49:E49"/>
    <mergeCell ref="F105:I105"/>
    <mergeCell ref="D131:E131"/>
    <mergeCell ref="A90:A91"/>
    <mergeCell ref="F107:I107"/>
    <mergeCell ref="B41:E41"/>
    <mergeCell ref="G38:H38"/>
    <mergeCell ref="D114:I114"/>
    <mergeCell ref="G175:H175"/>
    <mergeCell ref="D179:E179"/>
    <mergeCell ref="F99:I99"/>
    <mergeCell ref="D166:E166"/>
    <mergeCell ref="B140:E140"/>
    <mergeCell ref="B27:E27"/>
    <mergeCell ref="C206:I206"/>
    <mergeCell ref="B71:H71"/>
    <mergeCell ref="G177:H177"/>
    <mergeCell ref="C196:I196"/>
    <mergeCell ref="C205:I205"/>
    <mergeCell ref="B67:E67"/>
    <mergeCell ref="C198:I198"/>
    <mergeCell ref="F109:I109"/>
    <mergeCell ref="A1:I1"/>
    <mergeCell ref="B29:E29"/>
    <mergeCell ref="B103:E103"/>
    <mergeCell ref="B84:E84"/>
    <mergeCell ref="B55:E55"/>
    <mergeCell ref="B142:E142"/>
    <mergeCell ref="B122:C122"/>
    <mergeCell ref="B95:E95"/>
    <mergeCell ref="B116:G116"/>
    <mergeCell ref="D6:I7"/>
    <mergeCell ref="B144:E144"/>
    <mergeCell ref="B153:E153"/>
    <mergeCell ref="B134:E134"/>
    <mergeCell ref="C204:I204"/>
    <mergeCell ref="B56:E56"/>
    <mergeCell ref="C197:I197"/>
    <mergeCell ref="B58:E58"/>
    <mergeCell ref="B43:E43"/>
    <mergeCell ref="G142:H142"/>
    <mergeCell ref="B112:I112"/>
    <mergeCell ref="B107:E107"/>
    <mergeCell ref="B65:F65"/>
    <mergeCell ref="J163:J164"/>
    <mergeCell ref="G144:H144"/>
    <mergeCell ref="F101:I101"/>
    <mergeCell ref="J52:J53"/>
    <mergeCell ref="B191:I192"/>
    <mergeCell ref="B79:I79"/>
    <mergeCell ref="C207:I207"/>
    <mergeCell ref="B99:E99"/>
    <mergeCell ref="G43:H43"/>
    <mergeCell ref="B194:I194"/>
    <mergeCell ref="B52:E53"/>
    <mergeCell ref="B85:E85"/>
    <mergeCell ref="C208:I208"/>
    <mergeCell ref="B195:I195"/>
    <mergeCell ref="B62:E62"/>
    <mergeCell ref="B59:E59"/>
    <mergeCell ref="B46:E46"/>
    <mergeCell ref="D122:E122"/>
    <mergeCell ref="D182:I182"/>
    <mergeCell ref="B64:F64"/>
    <mergeCell ref="B114:C114"/>
    <mergeCell ref="B82:E82"/>
    <mergeCell ref="B169:F169"/>
    <mergeCell ref="B147:E147"/>
    <mergeCell ref="D123:E123"/>
    <mergeCell ref="G46:H46"/>
    <mergeCell ref="G159:H159"/>
    <mergeCell ref="G40:H40"/>
  </mergeCells>
  <printOptions horizontalCentered="1"/>
  <pageMargins left="0.3937007874015748" right="0.1968503937007874" top="0.4330708661417323" bottom="0.4330708661417323" header="0.3149606299212598" footer="0.1968503937007874"/>
  <pageSetup orientation="portrait" paperSize="9" scale="56" fitToHeight="0"/>
  <headerFooter alignWithMargins="0">
    <oddHeader/>
    <oddFooter>&amp;CS. &amp;P/&amp;N</oddFooter>
    <evenHeader/>
    <evenFooter/>
    <firstHeader/>
    <firstFooter/>
  </headerFooter>
  <rowBreaks count="2" manualBreakCount="2">
    <brk id="87" min="0" max="9" man="1"/>
    <brk id="180" min="0" max="16383" man="1"/>
  </rowBreaks>
</worksheet>
</file>

<file path=xl/worksheets/sheet3.xml><?xml version="1.0" encoding="utf-8"?>
<worksheet xmlns="http://schemas.openxmlformats.org/spreadsheetml/2006/main">
  <sheetPr>
    <tabColor rgb="FFFFFF00"/>
    <outlinePr summaryBelow="1" summaryRight="1"/>
    <pageSetUpPr/>
  </sheetPr>
  <dimension ref="B4:K38"/>
  <sheetViews>
    <sheetView topLeftCell="A4" zoomScaleNormal="100" workbookViewId="0">
      <selection activeCell="D26" sqref="D26:J26"/>
    </sheetView>
  </sheetViews>
  <sheetFormatPr baseColWidth="10" defaultColWidth="11.42578125" defaultRowHeight="12.75"/>
  <cols>
    <col width="11.42578125" customWidth="1" style="158" min="1" max="1"/>
    <col width="5.7109375" customWidth="1" style="158" min="2" max="2"/>
    <col width="4.42578125" customWidth="1" style="158" min="3" max="3"/>
    <col width="11.42578125" customWidth="1" style="158" min="4" max="16384"/>
  </cols>
  <sheetData>
    <row r="4">
      <c r="B4" s="155" t="n"/>
      <c r="C4" s="156" t="n"/>
      <c r="D4" s="156" t="n"/>
      <c r="E4" s="156" t="n"/>
      <c r="F4" s="156" t="n"/>
      <c r="G4" s="156" t="n"/>
      <c r="H4" s="156" t="n"/>
      <c r="I4" s="156" t="n"/>
      <c r="J4" s="156" t="n"/>
      <c r="K4" s="157" t="n"/>
    </row>
    <row r="5" ht="15" customHeight="1" s="510">
      <c r="B5" s="159" t="n"/>
      <c r="C5" s="388">
        <f>Bewerbungsformblatt!A1</f>
        <v/>
      </c>
      <c r="K5" s="160" t="n"/>
    </row>
    <row r="6">
      <c r="B6" s="159" t="n"/>
      <c r="K6" s="160" t="n"/>
    </row>
    <row r="7" ht="24" customHeight="1" s="510">
      <c r="B7" s="159" t="n"/>
      <c r="C7" s="387">
        <f>Bewerbungsformblatt!A2</f>
        <v/>
      </c>
      <c r="K7" s="160" t="n"/>
    </row>
    <row r="8">
      <c r="B8" s="159" t="n"/>
      <c r="K8" s="160" t="n"/>
    </row>
    <row r="9">
      <c r="B9" s="159" t="n"/>
      <c r="K9" s="160" t="n"/>
    </row>
    <row r="10">
      <c r="B10" s="159" t="n"/>
      <c r="C10" s="62" t="inlineStr">
        <is>
          <t>Erklärung zur freiberuflichen und unabhängigen Tätigkeit sowie der Richtigkeit der Angaben.</t>
        </is>
      </c>
      <c r="D10" s="62" t="n"/>
      <c r="E10" s="62" t="n"/>
      <c r="F10" s="62" t="n"/>
      <c r="G10" s="62" t="n"/>
      <c r="H10" s="62" t="n"/>
      <c r="I10" s="62" t="n"/>
      <c r="J10" s="62" t="n"/>
      <c r="K10" s="160" t="n"/>
    </row>
    <row r="11">
      <c r="B11" s="159" t="n"/>
      <c r="C11" s="162" t="n"/>
      <c r="K11" s="160" t="n"/>
    </row>
    <row r="12">
      <c r="B12" s="159" t="n"/>
      <c r="C12" s="174" t="inlineStr">
        <is>
          <t>1</t>
        </is>
      </c>
      <c r="D12" s="62" t="inlineStr">
        <is>
          <t>Ich/wir erkläre/n, dass das Unternehmen freiberuflich und unabhängig tätig ist.</t>
        </is>
      </c>
      <c r="K12" s="160" t="n"/>
    </row>
    <row r="13">
      <c r="B13" s="159" t="n"/>
      <c r="C13" s="163" t="n"/>
      <c r="D13" s="62" t="inlineStr">
        <is>
          <t>Es besteht keine Verknüpfung zu Gewerbebetrieben (VgV § 42).</t>
        </is>
      </c>
      <c r="K13" s="160" t="n"/>
    </row>
    <row r="14">
      <c r="B14" s="159" t="n"/>
      <c r="C14" s="174" t="n"/>
      <c r="K14" s="160" t="n"/>
    </row>
    <row r="15">
      <c r="B15" s="159" t="n"/>
      <c r="C15" s="174" t="inlineStr">
        <is>
          <t>2</t>
        </is>
      </c>
      <c r="D15" s="62" t="inlineStr">
        <is>
          <t>Liegen Ausschlusskriterien nach VgV §§ 42, 48 sowie GWB §§ 123, 124 vor?</t>
        </is>
      </c>
      <c r="K15" s="160" t="n"/>
    </row>
    <row r="16">
      <c r="B16" s="159" t="n"/>
      <c r="C16" s="163" t="n"/>
      <c r="D16" s="161" t="n"/>
      <c r="K16" s="160" t="n"/>
    </row>
    <row r="17">
      <c r="B17" s="159" t="n"/>
      <c r="C17" s="163" t="n"/>
      <c r="D17" s="164" t="inlineStr">
        <is>
          <t>Ja:</t>
        </is>
      </c>
      <c r="G17" s="165" t="inlineStr">
        <is>
          <t>Nein: X</t>
        </is>
      </c>
      <c r="K17" s="160" t="n"/>
    </row>
    <row r="18">
      <c r="B18" s="159" t="n"/>
      <c r="C18" s="163" t="n"/>
      <c r="D18" s="345" t="inlineStr">
        <is>
          <t>Falls ja, ist als Anlage eine gesonderte Erklärung in Textform abzugeben,
die alle erforderlichen Angaben zum Sachverhalt und zu einer eventuellen Selbstreinigung nach § 125 GWB enthält.</t>
        </is>
      </c>
      <c r="K18" s="160" t="n"/>
    </row>
    <row r="19">
      <c r="B19" s="159" t="n"/>
      <c r="C19" s="163" t="n"/>
      <c r="E19" s="166" t="n"/>
      <c r="K19" s="160" t="n"/>
    </row>
    <row r="20">
      <c r="B20" s="159" t="n"/>
      <c r="C20" s="174" t="inlineStr">
        <is>
          <t>3</t>
        </is>
      </c>
      <c r="D20" s="362" t="inlineStr">
        <is>
          <t xml:space="preserve">Sind Sie als Bewerber bzw. ist ein nach Satzung oder Gesetz für den Bewerber Vertretungsberechtigter in den letzten zwei Jahren </t>
        </is>
      </c>
      <c r="K20" s="160" t="n"/>
    </row>
    <row r="21">
      <c r="B21" s="159" t="n"/>
      <c r="C21" s="163" t="n"/>
      <c r="D21" t="inlineStr">
        <is>
          <t>• gem. § 21 Abs. 1 Satz 1 oder 2 Schwarzarbeitsbekämpfungsgesetz oder</t>
        </is>
      </c>
      <c r="E21" s="405" t="n"/>
      <c r="K21" s="160" t="n"/>
    </row>
    <row r="22">
      <c r="B22" s="159" t="n"/>
      <c r="C22" s="163" t="n"/>
      <c r="D22" t="inlineStr">
        <is>
          <t>• gem. § 21 Abs. 1 Arbeitnehmerentsendegesetz oder</t>
        </is>
      </c>
      <c r="E22" s="405" t="n"/>
      <c r="K22" s="160" t="n"/>
    </row>
    <row r="23" ht="39.75" customHeight="1" s="510">
      <c r="B23" s="159" t="n"/>
      <c r="C23" s="163" t="n"/>
      <c r="D23" s="362" t="inlineStr">
        <is>
          <t>• gem. § 19 Abs. 1 Mindestlohngesetz mit einer Freiheitsstrafe von mehr als drei Monaten oder einer Geldstrafe von mehr als 90 Tagessätzen oder einer Geldbuße von mehr als 2.500 Euro belegt worden?</t>
        </is>
      </c>
      <c r="K23" s="160" t="n"/>
    </row>
    <row r="24">
      <c r="B24" s="159" t="n"/>
      <c r="C24" s="163" t="n"/>
      <c r="E24" s="166" t="n"/>
      <c r="K24" s="160" t="n"/>
    </row>
    <row r="25">
      <c r="B25" s="159" t="n"/>
      <c r="C25" s="163" t="n"/>
      <c r="D25" s="165" t="inlineStr">
        <is>
          <t>Ja:</t>
        </is>
      </c>
      <c r="G25" s="165" t="inlineStr">
        <is>
          <t>Nein: X</t>
        </is>
      </c>
      <c r="K25" s="160" t="n"/>
    </row>
    <row r="26" ht="31.5" customHeight="1" s="510">
      <c r="B26" s="159" t="n"/>
      <c r="C26" s="163" t="n"/>
      <c r="D26" s="362" t="inlineStr">
        <is>
          <t>Falls ja, ist eine Erklärung in Textform abzugeben, die alle erforderlichen Angaben zum Sachverhalt enthält sowie etwaige Maßnahmen zur Verhinderung weiterer Verstöße beschreibt.</t>
        </is>
      </c>
      <c r="K26" s="160" t="n"/>
    </row>
    <row r="27">
      <c r="B27" s="159" t="n"/>
      <c r="C27" s="163" t="n"/>
      <c r="E27" s="166" t="n"/>
      <c r="K27" s="160" t="n"/>
    </row>
    <row r="28">
      <c r="B28" s="159" t="n"/>
      <c r="C28" s="174" t="inlineStr">
        <is>
          <t>4</t>
        </is>
      </c>
      <c r="D28" s="62" t="inlineStr">
        <is>
          <t xml:space="preserve">Ich/wir versicher/n, die übermittelten Unterlagen/Informationen/Angaben vertraulich zu </t>
        </is>
      </c>
      <c r="K28" s="160" t="n"/>
    </row>
    <row r="29">
      <c r="B29" s="159" t="n"/>
      <c r="C29" s="163" t="n"/>
      <c r="D29" t="inlineStr">
        <is>
          <t>behandeln VgV § 5.</t>
        </is>
      </c>
      <c r="E29" s="405" t="n"/>
      <c r="K29" s="160" t="n"/>
    </row>
    <row r="30">
      <c r="B30" s="159" t="n"/>
      <c r="C30" s="163" t="n"/>
      <c r="K30" s="160" t="n"/>
    </row>
    <row r="31">
      <c r="B31" s="159" t="n"/>
      <c r="C31" s="174" t="inlineStr">
        <is>
          <t>5</t>
        </is>
      </c>
      <c r="D31" s="62" t="inlineStr">
        <is>
          <t>Ich/wir versichern/n hiermit die Richtigkeit aller Angaben auf den Formularen, Nachweise und Anlagen.</t>
        </is>
      </c>
      <c r="K31" s="511" t="n"/>
    </row>
    <row r="32">
      <c r="B32" s="159" t="n"/>
      <c r="K32" s="160" t="n"/>
    </row>
    <row r="33">
      <c r="B33" s="159" t="n"/>
      <c r="K33" s="160" t="n"/>
    </row>
    <row r="34">
      <c r="B34" s="159" t="n"/>
      <c r="K34" s="160" t="n"/>
    </row>
    <row r="35">
      <c r="B35" s="159" t="n"/>
      <c r="C35" s="167" t="n"/>
      <c r="D35" s="167" t="inlineStr">
        <is>
          <t>Hamburg</t>
        </is>
      </c>
      <c r="E35" s="168" t="n"/>
      <c r="F35" s="168" t="n"/>
      <c r="G35" s="168" t="n"/>
      <c r="J35" s="169" t="inlineStr">
        <is>
          <t>Hansa Planungsgruppe GmbH, Dipl.-Ing. Anna-Lena Krüger</t>
        </is>
      </c>
      <c r="K35" s="160" t="n"/>
    </row>
    <row r="36">
      <c r="B36" s="159" t="n"/>
      <c r="D36" s="175" t="inlineStr">
        <is>
          <t>Ort, Datum</t>
        </is>
      </c>
      <c r="G36" s="170" t="n"/>
      <c r="I36" s="175" t="inlineStr">
        <is>
          <t>Stempel, Name (Textform zugelassen)</t>
        </is>
      </c>
      <c r="K36" s="176" t="n"/>
    </row>
    <row r="37">
      <c r="B37" s="159" t="n"/>
      <c r="K37" s="160" t="n"/>
    </row>
    <row r="38">
      <c r="B38" s="171" t="n"/>
      <c r="C38" s="172" t="n"/>
      <c r="D38" s="172" t="n"/>
      <c r="E38" s="172" t="n"/>
      <c r="F38" s="172" t="n"/>
      <c r="G38" s="172" t="n"/>
      <c r="H38" s="172" t="n"/>
      <c r="I38" s="172" t="n"/>
      <c r="J38" s="172" t="n"/>
      <c r="K38" s="173" t="n"/>
    </row>
  </sheetData>
  <sheetProtection selectLockedCells="0" selectUnlockedCells="0" algorithmName="SHA-512" sheet="1" objects="1" insertRows="1" insertHyperlinks="1" autoFilter="1" scenarios="1" formatColumns="1" deleteColumns="1" insertColumns="1" pivotTables="1" deleteRows="1" formatCells="1" saltValue="xAs63hmT4DDpZYLSSmLjkw==" formatRows="1" sort="1" spinCount="100000" hashValue="nv/f6xjRtkPJ3H3LhhErqyPSZ5YiQdlvfW8KyQ7rv/R4ys1y+t+XyygXn0EYODv5xY8gc6cyjusmHxzrCGdWlw=="/>
  <mergeCells count="6">
    <mergeCell ref="D18:J18"/>
    <mergeCell ref="C7:J7"/>
    <mergeCell ref="D26:J26"/>
    <mergeCell ref="D20:J20"/>
    <mergeCell ref="C5:J6"/>
    <mergeCell ref="D23:J23"/>
  </mergeCells>
  <pageMargins left="0.7" right="0.7" top="0.787401575" bottom="0.787401575" header="0.3" footer="0.3"/>
  <pageSetup orientation="landscape" paperSize="9" scale="8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abColor rgb="FFFFFF00"/>
    <outlinePr summaryBelow="1" summaryRight="1"/>
    <pageSetUpPr/>
  </sheetPr>
  <dimension ref="B2:P73"/>
  <sheetViews>
    <sheetView topLeftCell="A38" zoomScaleNormal="100" workbookViewId="0">
      <selection activeCell="C71" sqref="C71"/>
    </sheetView>
  </sheetViews>
  <sheetFormatPr baseColWidth="10" defaultColWidth="11.42578125" defaultRowHeight="12.75"/>
  <cols>
    <col width="11.42578125" customWidth="1" style="158" min="1" max="16384"/>
  </cols>
  <sheetData>
    <row r="2">
      <c r="B2" s="155" t="n"/>
      <c r="C2" s="156" t="n"/>
      <c r="D2" s="156" t="n"/>
      <c r="E2" s="156" t="n"/>
      <c r="F2" s="156" t="n"/>
      <c r="G2" s="156" t="n"/>
      <c r="H2" s="156" t="n"/>
      <c r="I2" s="156" t="n"/>
      <c r="J2" s="156" t="n"/>
      <c r="K2" s="156" t="n"/>
      <c r="L2" s="157" t="n"/>
    </row>
    <row r="3" ht="15" customHeight="1" s="510">
      <c r="B3" s="159" t="n"/>
      <c r="C3" s="388">
        <f>Bewerbungsformblatt!A1</f>
        <v/>
      </c>
      <c r="L3" s="160" t="n"/>
    </row>
    <row r="4">
      <c r="B4" s="159" t="n"/>
      <c r="L4" s="160" t="n"/>
    </row>
    <row r="5" ht="24" customHeight="1" s="510">
      <c r="B5" s="159" t="n"/>
      <c r="C5" s="387">
        <f>Bewerbungsformblatt!A2</f>
        <v/>
      </c>
      <c r="L5" s="160" t="n"/>
    </row>
    <row r="6">
      <c r="B6" s="159" t="n"/>
      <c r="L6" s="160" t="n"/>
    </row>
    <row r="7">
      <c r="B7" s="159" t="n"/>
      <c r="L7" s="160" t="n"/>
    </row>
    <row r="8" ht="18" customHeight="1" s="510">
      <c r="B8" s="177" t="n"/>
      <c r="C8" s="195" t="inlineStr">
        <is>
          <t>Eigenerklärung Bezug Russland</t>
        </is>
      </c>
      <c r="J8" s="395" t="inlineStr">
        <is>
          <t>127 / L 127 / III.27</t>
        </is>
      </c>
      <c r="L8" s="160" t="n"/>
    </row>
    <row r="9">
      <c r="B9" s="178" t="n"/>
      <c r="J9" s="401" t="inlineStr">
        <is>
          <t>(Erklärung Bezug Russland)</t>
        </is>
      </c>
      <c r="L9" s="160" t="n"/>
    </row>
    <row r="10">
      <c r="B10" s="179" t="n"/>
      <c r="C10" s="161" t="n"/>
      <c r="L10" s="160" t="n"/>
    </row>
    <row r="11" ht="73.5" customHeight="1" s="510">
      <c r="B11" s="179" t="n"/>
      <c r="C11" s="398" t="inlineStr">
        <is>
          <t>Entsprechend der Verordnung (EU) 2022/576 dürfen öffentliche Aufträge und Konzessionen nach dem 9. April 2022 nicht an Personen oder Unternehmen vergeben werden, die einen Bezug zu Russland im Sinne der Vorschrift aufweisen. Dies um- 
fasst sowohl unmittelbar als Bewerber, Bieter oder Auftragnehmer auftretende Personen oder Unternehmen als auch mittel-
bar, mit mehr als zehn Prozent, gemessen am Auftragswert, beteiligte Unterauftragnehmer, Lieferanten oder Eignungs-
verleiher.</t>
        </is>
      </c>
      <c r="L11" s="160" t="n"/>
      <c r="P11" s="180" t="n"/>
    </row>
    <row r="12">
      <c r="B12" s="179" t="n"/>
      <c r="L12" s="160" t="n"/>
    </row>
    <row r="13">
      <c r="B13" s="179" t="n"/>
      <c r="C13" s="398" t="inlineStr">
        <is>
          <t>Ein Bezug zu Russland im Sinne der Vorschrift besteht</t>
        </is>
      </c>
      <c r="L13" s="160" t="n"/>
    </row>
    <row r="14" ht="43.5" customHeight="1" s="510">
      <c r="B14" s="179" t="n"/>
      <c r="C14" s="397" t="inlineStr">
        <is>
          <t>a)      durch die russische Staatsangehörigkeit des Bewerbers/Bieters oder die Niederlassung des Bewerbers/Bieters in Russland,</t>
        </is>
      </c>
      <c r="L14" s="160" t="n"/>
    </row>
    <row r="15" ht="44.25" customHeight="1" s="510">
      <c r="B15" s="179" t="n"/>
      <c r="C15" s="397" t="inlineStr">
        <is>
          <t>b)      durch die Beteiligung einer natürlichen Person oder eines Unternehmens, auf die eines der Kriterien nach Buchstabe a zutrifft, am Bewerber/Bieter über das Halten von Anteilen im Umfang von mehr als 50 Prozent,</t>
        </is>
      </c>
      <c r="L15" s="160" t="n"/>
    </row>
    <row r="16" ht="45.75" customHeight="1" s="510">
      <c r="B16" s="179" t="n"/>
      <c r="C16" s="397" t="inlineStr">
        <is>
          <t>c)       durch das Handeln der Bewerber/Bieter im Namen oder auf Anweisung von Personen oder Unternehmen, auf die die Kriterien der Buchstaben a) und/oder b) zutreffen.</t>
        </is>
      </c>
      <c r="L16" s="160" t="n"/>
    </row>
    <row r="17" ht="31.5" customHeight="1" s="510">
      <c r="B17" s="179" t="n"/>
      <c r="C17" s="398" t="inlineStr">
        <is>
          <t>Bereits vor dem 9. April 2022 geschlossene Verträge mit solchen Personen oder Unternehmen mit Bezug zu Russland dürfen nur bis zum 10. Oktober 2022 fortgeführt werden.</t>
        </is>
      </c>
      <c r="L17" s="160" t="n"/>
    </row>
    <row r="18">
      <c r="B18" s="179" t="n"/>
      <c r="D18" s="166" t="n"/>
      <c r="L18" s="160" t="n"/>
    </row>
    <row r="19">
      <c r="B19" s="179" t="n"/>
      <c r="C19" s="346" t="inlineStr">
        <is>
          <t>Maßnahmennummer:</t>
        </is>
      </c>
      <c r="E19" s="395" t="inlineStr">
        <is>
          <t>107-01</t>
        </is>
      </c>
      <c r="H19" s="400" t="n"/>
      <c r="I19" s="158" t="n"/>
      <c r="J19" s="396" t="n"/>
      <c r="K19" s="158" t="n"/>
      <c r="L19" s="160" t="n"/>
    </row>
    <row r="20">
      <c r="B20" s="179" t="n"/>
      <c r="D20" s="166" t="n"/>
      <c r="L20" s="160" t="n"/>
    </row>
    <row r="21">
      <c r="B21" s="179" t="n"/>
      <c r="C21" s="161" t="n"/>
      <c r="L21" s="160" t="n"/>
    </row>
    <row r="22">
      <c r="B22" s="159" t="n"/>
      <c r="C22" s="181" t="n"/>
      <c r="D22" s="182" t="n"/>
      <c r="E22" s="182" t="n"/>
      <c r="F22" s="182" t="n"/>
      <c r="G22" s="182" t="n"/>
      <c r="H22" s="183" t="inlineStr">
        <is>
          <t>Hansa Planungsgruppe GmbH, Hammerbrookstraße 74, 20097 Hamburg, USt-IdNr.: DE318742591</t>
        </is>
      </c>
      <c r="I22" s="182" t="n"/>
      <c r="J22" s="182" t="n"/>
      <c r="K22" s="184" t="n"/>
      <c r="L22" s="160" t="n"/>
    </row>
    <row r="23">
      <c r="B23" s="159" t="n"/>
      <c r="C23" s="185" t="n"/>
      <c r="D23" s="186" t="n"/>
      <c r="E23" s="186" t="n"/>
      <c r="F23" s="186" t="n"/>
      <c r="G23" s="186" t="n"/>
      <c r="H23" s="187" t="n"/>
      <c r="I23" s="186" t="n"/>
      <c r="J23" s="186" t="n"/>
      <c r="K23" s="188" t="n"/>
      <c r="L23" s="160" t="n"/>
    </row>
    <row r="24">
      <c r="B24" s="159" t="n"/>
      <c r="C24" s="185" t="n"/>
      <c r="D24" s="186" t="n"/>
      <c r="E24" s="186" t="n"/>
      <c r="F24" s="186" t="n"/>
      <c r="G24" s="186" t="n"/>
      <c r="H24" s="187" t="n"/>
      <c r="I24" s="186" t="n"/>
      <c r="J24" s="186" t="n"/>
      <c r="K24" s="188" t="n"/>
      <c r="L24" s="160" t="n"/>
    </row>
    <row r="25">
      <c r="B25" s="159" t="n"/>
      <c r="C25" s="187" t="n"/>
      <c r="D25" s="186" t="n"/>
      <c r="E25" s="186" t="n"/>
      <c r="F25" s="186" t="n"/>
      <c r="G25" s="186" t="n"/>
      <c r="H25" s="187" t="n"/>
      <c r="I25" s="186" t="n"/>
      <c r="J25" s="186" t="n"/>
      <c r="K25" s="188" t="n"/>
      <c r="L25" s="160" t="n"/>
    </row>
    <row r="26">
      <c r="B26" s="159" t="n"/>
      <c r="C26" s="189" t="n"/>
      <c r="D26" s="190" t="n"/>
      <c r="E26" s="190" t="n"/>
      <c r="F26" s="190" t="n"/>
      <c r="G26" s="190" t="n"/>
      <c r="H26" s="581" t="inlineStr">
        <is>
          <t>(Name, Anschrift und Ust.-ID-Nr. des Unternehmens - Textform zugelassen)</t>
        </is>
      </c>
      <c r="I26" s="14" t="n"/>
      <c r="J26" s="14" t="n"/>
      <c r="K26" s="15" t="n"/>
      <c r="L26" s="160" t="n"/>
    </row>
    <row r="27">
      <c r="B27" s="159" t="n"/>
      <c r="L27" s="160" t="n"/>
    </row>
    <row r="28" ht="18.75" customHeight="1" s="510">
      <c r="B28" s="159" t="n"/>
      <c r="C28" s="582" t="inlineStr">
        <is>
          <t>Ich/ Wir erkläre(n), dass für mein/ unser Unternehmen keiner der in den Buchstaben a) bis c) genannten Fälle zutrifft.</t>
        </is>
      </c>
      <c r="D28" s="583" t="n"/>
      <c r="E28" s="583" t="n"/>
      <c r="F28" s="583" t="n"/>
      <c r="G28" s="583" t="n"/>
      <c r="H28" s="583" t="n"/>
      <c r="I28" s="583" t="n"/>
      <c r="J28" s="583" t="n"/>
      <c r="K28" s="584" t="n"/>
      <c r="L28" s="160" t="n"/>
    </row>
    <row r="29" ht="18" customHeight="1" s="510">
      <c r="B29" s="159" t="n"/>
      <c r="C29" s="582" t="inlineStr">
        <is>
          <t>Ich/ Wir erkläre(n), dass ich/ wir zur Ausführung des Auftrags für Teile der Leistung</t>
        </is>
      </c>
      <c r="D29" s="583" t="n"/>
      <c r="E29" s="583" t="n"/>
      <c r="F29" s="583" t="n"/>
      <c r="G29" s="583" t="n"/>
      <c r="H29" s="583" t="n"/>
      <c r="I29" s="583" t="n"/>
      <c r="J29" s="583" t="n"/>
      <c r="K29" s="584" t="n"/>
      <c r="L29" s="160" t="n"/>
    </row>
    <row r="30" ht="14.25" customHeight="1" s="510">
      <c r="B30" s="159" t="n"/>
      <c r="C30" s="191" t="n"/>
      <c r="D30" s="192" t="n"/>
      <c r="E30" s="192" t="n"/>
      <c r="F30" s="192" t="n"/>
      <c r="G30" s="192" t="n"/>
      <c r="H30" s="192" t="n"/>
      <c r="I30" s="192" t="n"/>
      <c r="J30" s="192" t="n"/>
      <c r="K30" s="193" t="n"/>
      <c r="L30" s="160" t="n"/>
    </row>
    <row r="31" ht="14.25" customHeight="1" s="510">
      <c r="B31" s="159" t="n"/>
      <c r="C31" s="191" t="n"/>
      <c r="D31" s="192" t="n"/>
      <c r="E31" s="192" t="n"/>
      <c r="F31" s="192" t="n"/>
      <c r="G31" s="192" t="n"/>
      <c r="H31" s="192" t="n"/>
      <c r="I31" s="192" t="n"/>
      <c r="J31" s="192" t="n"/>
      <c r="K31" s="193" t="n"/>
      <c r="L31" s="160" t="n"/>
    </row>
    <row r="32" ht="14.25" customHeight="1" s="510">
      <c r="B32" s="159" t="n"/>
      <c r="C32" s="191" t="n"/>
      <c r="D32" s="192" t="n"/>
      <c r="E32" s="192" t="n"/>
      <c r="F32" s="192" t="n"/>
      <c r="G32" s="192" t="n"/>
      <c r="H32" s="192" t="n"/>
      <c r="I32" s="192" t="n"/>
      <c r="J32" s="192" t="n"/>
      <c r="K32" s="193" t="n"/>
      <c r="L32" s="160" t="n"/>
    </row>
    <row r="33" ht="14.25" customHeight="1" s="510">
      <c r="B33" s="159" t="n"/>
      <c r="C33" s="191" t="n"/>
      <c r="D33" s="192" t="n"/>
      <c r="E33" s="192" t="n"/>
      <c r="F33" s="192" t="n"/>
      <c r="G33" s="192" t="n"/>
      <c r="H33" s="192" t="n"/>
      <c r="I33" s="192" t="n"/>
      <c r="J33" s="192" t="n"/>
      <c r="K33" s="193" t="n"/>
      <c r="L33" s="160" t="n"/>
    </row>
    <row r="34">
      <c r="B34" s="159" t="n"/>
      <c r="C34" s="187" t="n"/>
      <c r="D34" s="186" t="n"/>
      <c r="E34" s="186" t="n"/>
      <c r="F34" s="186" t="n"/>
      <c r="G34" s="186" t="n"/>
      <c r="H34" s="186" t="n"/>
      <c r="I34" s="186" t="n"/>
      <c r="J34" s="186" t="n"/>
      <c r="K34" s="188" t="n"/>
      <c r="L34" s="160" t="n"/>
    </row>
    <row r="35">
      <c r="B35" s="159" t="n"/>
      <c r="C35" s="187" t="n"/>
      <c r="D35" s="186" t="n"/>
      <c r="E35" s="186" t="n"/>
      <c r="F35" s="186" t="n"/>
      <c r="G35" s="186" t="n"/>
      <c r="H35" s="186" t="n"/>
      <c r="I35" s="186" t="n"/>
      <c r="J35" s="186" t="n"/>
      <c r="K35" s="188" t="n"/>
      <c r="L35" s="160" t="n"/>
    </row>
    <row r="36">
      <c r="B36" s="159" t="n"/>
      <c r="C36" s="187" t="n"/>
      <c r="D36" s="186" t="n"/>
      <c r="E36" s="186" t="n"/>
      <c r="F36" s="186" t="n"/>
      <c r="G36" s="186" t="n"/>
      <c r="H36" s="186" t="n"/>
      <c r="I36" s="186" t="n"/>
      <c r="J36" s="186" t="n"/>
      <c r="K36" s="188" t="n"/>
      <c r="L36" s="160" t="n"/>
    </row>
    <row r="37">
      <c r="B37" s="159" t="n"/>
      <c r="C37" s="187" t="n"/>
      <c r="D37" s="186" t="n"/>
      <c r="E37" s="186" t="n"/>
      <c r="F37" s="186" t="n"/>
      <c r="G37" s="186" t="n"/>
      <c r="H37" s="186" t="n"/>
      <c r="I37" s="186" t="n"/>
      <c r="J37" s="186" t="n"/>
      <c r="K37" s="188" t="n"/>
      <c r="L37" s="160" t="n"/>
    </row>
    <row r="38">
      <c r="B38" s="159" t="n"/>
      <c r="C38" s="187" t="n"/>
      <c r="D38" s="186" t="n"/>
      <c r="E38" s="186" t="n"/>
      <c r="F38" s="186" t="n"/>
      <c r="G38" s="186" t="n"/>
      <c r="H38" s="186" t="n"/>
      <c r="I38" s="186" t="n"/>
      <c r="J38" s="186" t="n"/>
      <c r="K38" s="188" t="n"/>
      <c r="L38" s="160" t="n"/>
    </row>
    <row r="39">
      <c r="B39" s="159" t="n"/>
      <c r="C39" s="187" t="n"/>
      <c r="D39" s="186" t="n"/>
      <c r="E39" s="186" t="n"/>
      <c r="F39" s="186" t="n"/>
      <c r="G39" s="186" t="n"/>
      <c r="H39" s="186" t="n"/>
      <c r="I39" s="186" t="n"/>
      <c r="J39" s="186" t="n"/>
      <c r="K39" s="188" t="n"/>
      <c r="L39" s="160" t="n"/>
    </row>
    <row r="40">
      <c r="B40" s="159" t="n"/>
      <c r="C40" s="189" t="n"/>
      <c r="D40" s="190" t="n"/>
      <c r="E40" s="190" t="n"/>
      <c r="F40" s="190" t="n"/>
      <c r="G40" s="190" t="n"/>
      <c r="H40" s="190" t="n"/>
      <c r="I40" s="190" t="n"/>
      <c r="J40" s="190" t="n"/>
      <c r="K40" s="194" t="n"/>
      <c r="L40" s="160" t="n"/>
    </row>
    <row r="41">
      <c r="B41" s="159" t="n"/>
      <c r="L41" s="160" t="n"/>
    </row>
    <row r="42">
      <c r="B42" s="159" t="n"/>
      <c r="L42" s="160" t="n"/>
    </row>
    <row r="43">
      <c r="B43" s="159" t="n"/>
      <c r="C43" s="183" t="n"/>
      <c r="D43" s="182" t="n"/>
      <c r="E43" s="182" t="n"/>
      <c r="F43" s="182" t="n"/>
      <c r="G43" s="182" t="n"/>
      <c r="H43" s="182" t="n"/>
      <c r="I43" s="182" t="n"/>
      <c r="J43" s="182" t="n"/>
      <c r="K43" s="184" t="n"/>
      <c r="L43" s="160" t="n"/>
    </row>
    <row r="44">
      <c r="B44" s="159" t="n"/>
      <c r="C44" s="187" t="n"/>
      <c r="D44" s="186" t="n"/>
      <c r="E44" s="186" t="n"/>
      <c r="F44" s="186" t="n"/>
      <c r="G44" s="186" t="n"/>
      <c r="H44" s="186" t="n"/>
      <c r="I44" s="186" t="n"/>
      <c r="J44" s="186" t="n"/>
      <c r="K44" s="188" t="n"/>
      <c r="L44" s="160" t="n"/>
    </row>
    <row r="45">
      <c r="B45" s="159" t="n"/>
      <c r="C45" s="187" t="n"/>
      <c r="D45" s="186" t="n"/>
      <c r="E45" s="186" t="n"/>
      <c r="F45" s="186" t="n"/>
      <c r="G45" s="186" t="n"/>
      <c r="H45" s="186" t="n"/>
      <c r="I45" s="186" t="n"/>
      <c r="J45" s="186" t="n"/>
      <c r="K45" s="188" t="n"/>
      <c r="L45" s="160" t="n"/>
    </row>
    <row r="46">
      <c r="B46" s="159" t="n"/>
      <c r="C46" s="187" t="n"/>
      <c r="D46" s="186" t="n"/>
      <c r="E46" s="186" t="n"/>
      <c r="F46" s="186" t="n"/>
      <c r="G46" s="186" t="n"/>
      <c r="H46" s="186" t="n"/>
      <c r="I46" s="186" t="n"/>
      <c r="J46" s="186" t="n"/>
      <c r="K46" s="188" t="n"/>
      <c r="L46" s="160" t="n"/>
    </row>
    <row r="47">
      <c r="B47" s="159" t="n"/>
      <c r="C47" s="187" t="n"/>
      <c r="D47" s="186" t="n"/>
      <c r="E47" s="186" t="n"/>
      <c r="F47" s="186" t="n"/>
      <c r="G47" s="186" t="n"/>
      <c r="H47" s="186" t="n"/>
      <c r="I47" s="186" t="n"/>
      <c r="J47" s="186" t="n"/>
      <c r="K47" s="188" t="n"/>
      <c r="L47" s="160" t="n"/>
    </row>
    <row r="48">
      <c r="B48" s="159" t="n"/>
      <c r="C48" s="187" t="n"/>
      <c r="D48" s="186" t="n"/>
      <c r="E48" s="186" t="n"/>
      <c r="F48" s="186" t="n"/>
      <c r="G48" s="186" t="n"/>
      <c r="H48" s="186" t="n"/>
      <c r="I48" s="186" t="n"/>
      <c r="J48" s="186" t="n"/>
      <c r="K48" s="188" t="n"/>
      <c r="L48" s="160" t="n"/>
    </row>
    <row r="49">
      <c r="B49" s="159" t="n"/>
      <c r="C49" s="187" t="n"/>
      <c r="D49" s="186" t="n"/>
      <c r="E49" s="186" t="n"/>
      <c r="F49" s="186" t="n"/>
      <c r="G49" s="186" t="n"/>
      <c r="H49" s="186" t="n"/>
      <c r="I49" s="186" t="n"/>
      <c r="J49" s="186" t="n"/>
      <c r="K49" s="188" t="n"/>
      <c r="L49" s="160" t="n"/>
    </row>
    <row r="50">
      <c r="B50" s="159" t="n"/>
      <c r="C50" s="187" t="n"/>
      <c r="D50" s="186" t="n"/>
      <c r="E50" s="186" t="n"/>
      <c r="F50" s="186" t="n"/>
      <c r="G50" s="186" t="n"/>
      <c r="H50" s="186" t="n"/>
      <c r="I50" s="186" t="n"/>
      <c r="J50" s="186" t="n"/>
      <c r="K50" s="188" t="n"/>
      <c r="L50" s="160" t="n"/>
    </row>
    <row r="51">
      <c r="B51" s="159" t="n"/>
      <c r="C51" s="187" t="n"/>
      <c r="D51" s="186" t="n"/>
      <c r="E51" s="186" t="n"/>
      <c r="F51" s="186" t="n"/>
      <c r="G51" s="186" t="n"/>
      <c r="H51" s="186" t="n"/>
      <c r="I51" s="186" t="n"/>
      <c r="J51" s="186" t="n"/>
      <c r="K51" s="188" t="n"/>
      <c r="L51" s="160" t="n"/>
    </row>
    <row r="52">
      <c r="B52" s="159" t="n"/>
      <c r="C52" s="187" t="n"/>
      <c r="D52" s="186" t="n"/>
      <c r="E52" s="186" t="n"/>
      <c r="F52" s="186" t="n"/>
      <c r="G52" s="186" t="n"/>
      <c r="H52" s="186" t="n"/>
      <c r="I52" s="186" t="n"/>
      <c r="J52" s="186" t="n"/>
      <c r="K52" s="188" t="n"/>
      <c r="L52" s="160" t="n"/>
    </row>
    <row r="53">
      <c r="B53" s="159" t="n"/>
      <c r="C53" s="187" t="n"/>
      <c r="D53" s="186" t="n"/>
      <c r="E53" s="186" t="n"/>
      <c r="F53" s="186" t="n"/>
      <c r="G53" s="186" t="n"/>
      <c r="H53" s="186" t="n"/>
      <c r="I53" s="186" t="n"/>
      <c r="J53" s="186" t="n"/>
      <c r="K53" s="188" t="n"/>
      <c r="L53" s="160" t="n"/>
    </row>
    <row r="54">
      <c r="B54" s="159" t="n"/>
      <c r="C54" s="189" t="n"/>
      <c r="D54" s="190" t="n"/>
      <c r="E54" s="190" t="n"/>
      <c r="F54" s="190" t="n"/>
      <c r="G54" s="190" t="n"/>
      <c r="H54" s="190" t="n"/>
      <c r="I54" s="190" t="n"/>
      <c r="J54" s="190" t="n"/>
      <c r="K54" s="194" t="n"/>
      <c r="L54" s="160" t="n"/>
    </row>
    <row r="55">
      <c r="B55" s="159" t="n"/>
      <c r="L55" s="160" t="n"/>
    </row>
    <row r="56">
      <c r="B56" s="159" t="n"/>
      <c r="L56" s="160" t="n"/>
    </row>
    <row r="57">
      <c r="B57" s="159" t="n"/>
      <c r="C57" s="183" t="n"/>
      <c r="D57" s="182" t="n"/>
      <c r="E57" s="182" t="n"/>
      <c r="F57" s="182" t="n"/>
      <c r="G57" s="182" t="n"/>
      <c r="H57" s="182" t="n"/>
      <c r="I57" s="182" t="n"/>
      <c r="J57" s="182" t="n"/>
      <c r="K57" s="184" t="n"/>
      <c r="L57" s="160" t="n"/>
    </row>
    <row r="58">
      <c r="B58" s="159" t="n"/>
      <c r="C58" s="187" t="n"/>
      <c r="D58" s="186" t="n"/>
      <c r="E58" s="186" t="n"/>
      <c r="F58" s="186" t="n"/>
      <c r="G58" s="186" t="n"/>
      <c r="H58" s="186" t="n"/>
      <c r="I58" s="186" t="n"/>
      <c r="J58" s="186" t="n"/>
      <c r="K58" s="188" t="n"/>
      <c r="L58" s="160" t="n"/>
    </row>
    <row r="59">
      <c r="B59" s="159" t="n"/>
      <c r="C59" s="187" t="n"/>
      <c r="D59" s="186" t="n"/>
      <c r="E59" s="186" t="n"/>
      <c r="F59" s="186" t="n"/>
      <c r="G59" s="186" t="n"/>
      <c r="H59" s="186" t="n"/>
      <c r="I59" s="186" t="n"/>
      <c r="J59" s="186" t="n"/>
      <c r="K59" s="188" t="n"/>
      <c r="L59" s="160" t="n"/>
    </row>
    <row r="60">
      <c r="B60" s="159" t="n"/>
      <c r="C60" s="187" t="n"/>
      <c r="D60" s="186" t="n"/>
      <c r="E60" s="186" t="n"/>
      <c r="F60" s="186" t="n"/>
      <c r="G60" s="186" t="n"/>
      <c r="H60" s="186" t="n"/>
      <c r="I60" s="186" t="n"/>
      <c r="J60" s="186" t="n"/>
      <c r="K60" s="188" t="n"/>
      <c r="L60" s="160" t="n"/>
    </row>
    <row r="61">
      <c r="B61" s="159" t="n"/>
      <c r="C61" s="187" t="n"/>
      <c r="D61" s="186" t="n"/>
      <c r="E61" s="186" t="n"/>
      <c r="F61" s="186" t="n"/>
      <c r="G61" s="186" t="n"/>
      <c r="H61" s="186" t="n"/>
      <c r="I61" s="186" t="n"/>
      <c r="J61" s="186" t="n"/>
      <c r="K61" s="188" t="n"/>
      <c r="L61" s="160" t="n"/>
    </row>
    <row r="62">
      <c r="B62" s="159" t="n"/>
      <c r="C62" s="187" t="n"/>
      <c r="D62" s="186" t="n"/>
      <c r="E62" s="186" t="n"/>
      <c r="F62" s="186" t="n"/>
      <c r="G62" s="186" t="n"/>
      <c r="H62" s="186" t="n"/>
      <c r="I62" s="186" t="n"/>
      <c r="J62" s="186" t="n"/>
      <c r="K62" s="188" t="n"/>
      <c r="L62" s="160" t="n"/>
    </row>
    <row r="63">
      <c r="B63" s="159" t="n"/>
      <c r="C63" s="187" t="n"/>
      <c r="D63" s="186" t="n"/>
      <c r="E63" s="186" t="n"/>
      <c r="F63" s="186" t="n"/>
      <c r="G63" s="186" t="n"/>
      <c r="H63" s="186" t="n"/>
      <c r="I63" s="186" t="n"/>
      <c r="J63" s="186" t="n"/>
      <c r="K63" s="188" t="n"/>
      <c r="L63" s="160" t="n"/>
    </row>
    <row r="64">
      <c r="B64" s="159" t="n"/>
      <c r="C64" s="187" t="n"/>
      <c r="D64" s="186" t="n"/>
      <c r="E64" s="186" t="n"/>
      <c r="F64" s="186" t="n"/>
      <c r="G64" s="186" t="n"/>
      <c r="H64" s="186" t="n"/>
      <c r="I64" s="186" t="n"/>
      <c r="J64" s="186" t="n"/>
      <c r="K64" s="188" t="n"/>
      <c r="L64" s="160" t="n"/>
    </row>
    <row r="65">
      <c r="B65" s="159" t="n"/>
      <c r="C65" s="187" t="n"/>
      <c r="D65" s="186" t="n"/>
      <c r="E65" s="186" t="n"/>
      <c r="F65" s="186" t="n"/>
      <c r="G65" s="186" t="n"/>
      <c r="H65" s="186" t="n"/>
      <c r="I65" s="186" t="n"/>
      <c r="J65" s="186" t="n"/>
      <c r="K65" s="188" t="n"/>
      <c r="L65" s="160" t="n"/>
    </row>
    <row r="66">
      <c r="B66" s="159" t="n"/>
      <c r="C66" s="187" t="n"/>
      <c r="D66" s="186" t="n"/>
      <c r="E66" s="186" t="n"/>
      <c r="F66" s="186" t="n"/>
      <c r="G66" s="186" t="n"/>
      <c r="H66" s="186" t="n"/>
      <c r="I66" s="186" t="n"/>
      <c r="J66" s="186" t="n"/>
      <c r="K66" s="188" t="n"/>
      <c r="L66" s="160" t="n"/>
    </row>
    <row r="67">
      <c r="B67" s="159" t="n"/>
      <c r="C67" s="189" t="n"/>
      <c r="D67" s="190" t="n"/>
      <c r="E67" s="190" t="n"/>
      <c r="F67" s="190" t="n"/>
      <c r="G67" s="190" t="n"/>
      <c r="H67" s="190" t="n"/>
      <c r="I67" s="190" t="n"/>
      <c r="J67" s="190" t="n"/>
      <c r="K67" s="194" t="n"/>
      <c r="L67" s="160" t="n"/>
    </row>
    <row r="68">
      <c r="B68" s="159" t="n"/>
      <c r="L68" s="160" t="n"/>
    </row>
    <row r="69">
      <c r="B69" s="159" t="n"/>
      <c r="L69" s="160" t="n"/>
    </row>
    <row r="70">
      <c r="B70" s="159" t="n"/>
      <c r="L70" s="160" t="n"/>
    </row>
    <row r="71">
      <c r="B71" s="159" t="n"/>
      <c r="D71" s="169" t="n"/>
      <c r="E71" s="169" t="n"/>
      <c r="I71" s="169" t="inlineStr">
        <is>
          <t>Dipl.-Ing. Anna-Lena Krüger</t>
        </is>
      </c>
      <c r="L71" s="160" t="n"/>
    </row>
    <row r="72">
      <c r="B72" s="159" t="n"/>
      <c r="C72" s="175" t="inlineStr">
        <is>
          <t>Ort, Datum</t>
        </is>
      </c>
      <c r="F72" s="170" t="n"/>
      <c r="H72" s="175" t="inlineStr">
        <is>
          <t>Stempel, Name (Textform zugelassen)</t>
        </is>
      </c>
      <c r="J72" s="196" t="n"/>
      <c r="L72" s="160" t="n"/>
    </row>
    <row r="73">
      <c r="B73" s="171" t="n"/>
      <c r="C73" s="172" t="n"/>
      <c r="D73" s="172" t="n"/>
      <c r="E73" s="172" t="n"/>
      <c r="F73" s="172" t="n"/>
      <c r="G73" s="172" t="n"/>
      <c r="H73" s="172" t="n"/>
      <c r="I73" s="172" t="n"/>
      <c r="J73" s="172" t="n"/>
      <c r="K73" s="172" t="n"/>
      <c r="L73" s="173" t="n"/>
    </row>
  </sheetData>
  <sheetProtection selectLockedCells="0" selectUnlockedCells="0" algorithmName="SHA-512" sheet="1" objects="1" insertRows="1" insertHyperlinks="1" autoFilter="1" scenarios="1" formatColumns="1" deleteColumns="1" insertColumns="1" pivotTables="1" deleteRows="1" formatCells="1" saltValue="y5qmCHd7rsi5KLlgiMMe5g==" formatRows="1" sort="1" spinCount="100000" hashValue="KX6puDzAgfQ9Kw1E0Jf4XXrmcWojLUI+QRL79nljB1zj8zQR/TAWjNowQrXDNhohwgcqlzcpIClXNtgRIFth6g=="/>
  <mergeCells count="17">
    <mergeCell ref="C16:K16"/>
    <mergeCell ref="C15:K15"/>
    <mergeCell ref="C11:K11"/>
    <mergeCell ref="C3:J4"/>
    <mergeCell ref="H26:K26"/>
    <mergeCell ref="C14:K14"/>
    <mergeCell ref="C28:K28"/>
    <mergeCell ref="C19:D19"/>
    <mergeCell ref="C13:K13"/>
    <mergeCell ref="E19:F19"/>
    <mergeCell ref="J19:K19"/>
    <mergeCell ref="H19:I19"/>
    <mergeCell ref="C17:K17"/>
    <mergeCell ref="C5:J5"/>
    <mergeCell ref="J8:K8"/>
    <mergeCell ref="J9:K9"/>
    <mergeCell ref="C29:K29"/>
  </mergeCells>
  <pageMargins left="0.7086614173228347" right="0.7086614173228347" top="0.7874015748031497" bottom="0.7874015748031497" header="0.3149606299212598" footer="0.3149606299212598"/>
  <pageSetup orientation="portrait" paperSize="9" scale="64"/>
  <legacyDrawing r:id="rId3"/>
  <mc:AlternateContent>
    <mc:Choice Requires="x14">
      <controls>
        <mc:AlternateContent>
          <mc:Choice Requires="x14">
            <control shapeId="4097" r:id="rId4" name="Check Box 1">
              <controlPr defaultSize="0" autoFill="0" autoLine="0" autoPict="0" altText="Bieter 1">
                <anchor moveWithCells="1">
                  <from>
                    <xdr:col>2</xdr:col>
                    <xdr:colOff>123825</xdr:colOff>
                    <xdr:row>20</xdr:row>
                    <xdr:rowOff>133350</xdr:rowOff>
                  </from>
                  <to>
                    <xdr:col>4</xdr:col>
                    <xdr:colOff>533400</xdr:colOff>
                    <xdr:row>23</xdr:row>
                    <xdr:rowOff>85725</xdr:rowOff>
                  </to>
                </anchor>
              </controlPr>
            </control>
          </mc:Choice>
        </mc:AlternateContent>
        <mc:AlternateContent>
          <mc:Choice Requires="x14">
            <control shapeId="4098" r:id="rId5" name="Check Box 2">
              <controlPr defaultSize="0" autoFill="0" autoLine="0" autoPict="0">
                <anchor moveWithCells="1">
                  <from>
                    <xdr:col>2</xdr:col>
                    <xdr:colOff>123825</xdr:colOff>
                    <xdr:row>22</xdr:row>
                    <xdr:rowOff>104775</xdr:rowOff>
                  </from>
                  <to>
                    <xdr:col>5</xdr:col>
                    <xdr:colOff>323850</xdr:colOff>
                    <xdr:row>24</xdr:row>
                    <xdr:rowOff>66675</xdr:rowOff>
                  </to>
                </anchor>
              </controlPr>
            </control>
          </mc:Choice>
        </mc:AlternateContent>
        <mc:AlternateContent>
          <mc:Choice Requires="x14">
            <control shapeId="4099" r:id="rId6" name="Check Box 3">
              <controlPr defaultSize="0" autoFill="0" autoLine="0" autoPict="0">
                <anchor moveWithCells="1">
                  <from>
                    <xdr:col>2</xdr:col>
                    <xdr:colOff>123825</xdr:colOff>
                    <xdr:row>23</xdr:row>
                    <xdr:rowOff>114300</xdr:rowOff>
                  </from>
                  <to>
                    <xdr:col>5</xdr:col>
                    <xdr:colOff>323850</xdr:colOff>
                    <xdr:row>26</xdr:row>
                    <xdr:rowOff>9525</xdr:rowOff>
                  </to>
                </anchor>
              </controlPr>
            </control>
          </mc:Choice>
        </mc:AlternateContent>
        <mc:AlternateContent>
          <mc:Choice Requires="x14">
            <control shapeId="4100" r:id="rId7" name="Check Box 4">
              <controlPr defaultSize="0" autoFill="0" autoLine="0" autoPict="0">
                <anchor moveWithCells="1">
                  <from>
                    <xdr:col>2</xdr:col>
                    <xdr:colOff>19050</xdr:colOff>
                    <xdr:row>29</xdr:row>
                    <xdr:rowOff>0</xdr:rowOff>
                  </from>
                  <to>
                    <xdr:col>9</xdr:col>
                    <xdr:colOff>590550</xdr:colOff>
                    <xdr:row>31</xdr:row>
                    <xdr:rowOff>123825</xdr:rowOff>
                  </to>
                </anchor>
              </controlPr>
            </control>
          </mc:Choice>
        </mc:AlternateContent>
        <mc:AlternateContent>
          <mc:Choice Requires="x14">
            <control shapeId="4101" r:id="rId8" name="Check Box 5">
              <controlPr defaultSize="0" autoFill="0" autoLine="0" autoPict="0">
                <anchor moveWithCells="1">
                  <from>
                    <xdr:col>2</xdr:col>
                    <xdr:colOff>9525</xdr:colOff>
                    <xdr:row>31</xdr:row>
                    <xdr:rowOff>9525</xdr:rowOff>
                  </from>
                  <to>
                    <xdr:col>9</xdr:col>
                    <xdr:colOff>581025</xdr:colOff>
                    <xdr:row>33</xdr:row>
                    <xdr:rowOff>133350</xdr:rowOff>
                  </to>
                </anchor>
              </controlPr>
            </control>
          </mc:Choice>
        </mc:AlternateContent>
        <mc:AlternateContent>
          <mc:Choice Requires="x14">
            <control shapeId="4102" r:id="rId9" name="Check Box 6">
              <controlPr defaultSize="0" autoFill="0" autoLine="0" autoPict="0">
                <anchor moveWithCells="1">
                  <from>
                    <xdr:col>2</xdr:col>
                    <xdr:colOff>504825</xdr:colOff>
                    <xdr:row>33</xdr:row>
                    <xdr:rowOff>95250</xdr:rowOff>
                  </from>
                  <to>
                    <xdr:col>8</xdr:col>
                    <xdr:colOff>409575</xdr:colOff>
                    <xdr:row>35</xdr:row>
                    <xdr:rowOff>95250</xdr:rowOff>
                  </to>
                </anchor>
              </controlPr>
            </control>
          </mc:Choice>
        </mc:AlternateContent>
        <mc:AlternateContent>
          <mc:Choice Requires="x14">
            <control shapeId="4103" r:id="rId10" name="Check Box 7">
              <controlPr defaultSize="0" autoFill="0" autoLine="0" autoPict="0">
                <anchor moveWithCells="1">
                  <from>
                    <xdr:col>2</xdr:col>
                    <xdr:colOff>495300</xdr:colOff>
                    <xdr:row>35</xdr:row>
                    <xdr:rowOff>47625</xdr:rowOff>
                  </from>
                  <to>
                    <xdr:col>8</xdr:col>
                    <xdr:colOff>400050</xdr:colOff>
                    <xdr:row>37</xdr:row>
                    <xdr:rowOff>47625</xdr:rowOff>
                  </to>
                </anchor>
              </controlPr>
            </control>
          </mc:Choice>
        </mc:AlternateContent>
        <mc:AlternateContent>
          <mc:Choice Requires="x14">
            <control shapeId="4104" r:id="rId11" name="Check Box 8">
              <controlPr defaultSize="0" autoFill="0" autoLine="0" autoPict="0">
                <anchor moveWithCells="1">
                  <from>
                    <xdr:col>2</xdr:col>
                    <xdr:colOff>495300</xdr:colOff>
                    <xdr:row>36</xdr:row>
                    <xdr:rowOff>152400</xdr:rowOff>
                  </from>
                  <to>
                    <xdr:col>8</xdr:col>
                    <xdr:colOff>400050</xdr:colOff>
                    <xdr:row>38</xdr:row>
                    <xdr:rowOff>152400</xdr:rowOff>
                  </to>
                </anchor>
              </controlPr>
            </control>
          </mc:Choice>
        </mc:AlternateContent>
        <mc:AlternateContent>
          <mc:Choice Requires="x14">
            <control shapeId="4105" r:id="rId12" name="Check Box 9">
              <controlPr defaultSize="0" autoFill="0" autoLine="0" autoPict="0">
                <anchor moveWithCells="1">
                  <from>
                    <xdr:col>2</xdr:col>
                    <xdr:colOff>9525</xdr:colOff>
                    <xdr:row>42</xdr:row>
                    <xdr:rowOff>0</xdr:rowOff>
                  </from>
                  <to>
                    <xdr:col>9</xdr:col>
                    <xdr:colOff>666750</xdr:colOff>
                    <xdr:row>44</xdr:row>
                    <xdr:rowOff>152400</xdr:rowOff>
                  </to>
                </anchor>
              </controlPr>
            </control>
          </mc:Choice>
        </mc:AlternateContent>
        <mc:AlternateContent>
          <mc:Choice Requires="x14">
            <control shapeId="4106" r:id="rId13" name="Check Box 10">
              <controlPr defaultSize="0" autoFill="0" autoLine="0" autoPict="0">
                <anchor moveWithCells="1">
                  <from>
                    <xdr:col>2</xdr:col>
                    <xdr:colOff>19050</xdr:colOff>
                    <xdr:row>44</xdr:row>
                    <xdr:rowOff>9525</xdr:rowOff>
                  </from>
                  <to>
                    <xdr:col>9</xdr:col>
                    <xdr:colOff>676275</xdr:colOff>
                    <xdr:row>47</xdr:row>
                    <xdr:rowOff>0</xdr:rowOff>
                  </to>
                </anchor>
              </controlPr>
            </control>
          </mc:Choice>
        </mc:AlternateContent>
        <mc:AlternateContent>
          <mc:Choice Requires="x14">
            <control shapeId="4107" r:id="rId14" name="Check Box 11">
              <controlPr defaultSize="0" autoFill="0" autoLine="0" autoPict="0">
                <anchor moveWithCells="1">
                  <from>
                    <xdr:col>2</xdr:col>
                    <xdr:colOff>390525</xdr:colOff>
                    <xdr:row>47</xdr:row>
                    <xdr:rowOff>95250</xdr:rowOff>
                  </from>
                  <to>
                    <xdr:col>9</xdr:col>
                    <xdr:colOff>95250</xdr:colOff>
                    <xdr:row>49</xdr:row>
                    <xdr:rowOff>95250</xdr:rowOff>
                  </to>
                </anchor>
              </controlPr>
            </control>
          </mc:Choice>
        </mc:AlternateContent>
        <mc:AlternateContent>
          <mc:Choice Requires="x14">
            <control shapeId="4108" r:id="rId15" name="Check Box 12">
              <controlPr defaultSize="0" autoFill="0" autoLine="0" autoPict="0">
                <anchor moveWithCells="1">
                  <from>
                    <xdr:col>2</xdr:col>
                    <xdr:colOff>400050</xdr:colOff>
                    <xdr:row>49</xdr:row>
                    <xdr:rowOff>76200</xdr:rowOff>
                  </from>
                  <to>
                    <xdr:col>8</xdr:col>
                    <xdr:colOff>733425</xdr:colOff>
                    <xdr:row>51</xdr:row>
                    <xdr:rowOff>76200</xdr:rowOff>
                  </to>
                </anchor>
              </controlPr>
            </control>
          </mc:Choice>
        </mc:AlternateContent>
        <mc:AlternateContent>
          <mc:Choice Requires="x14">
            <control shapeId="4109" r:id="rId16" name="Check Box 13">
              <controlPr defaultSize="0" autoFill="0" autoLine="0" autoPict="0">
                <anchor moveWithCells="1">
                  <from>
                    <xdr:col>2</xdr:col>
                    <xdr:colOff>400050</xdr:colOff>
                    <xdr:row>51</xdr:row>
                    <xdr:rowOff>66675</xdr:rowOff>
                  </from>
                  <to>
                    <xdr:col>9</xdr:col>
                    <xdr:colOff>114300</xdr:colOff>
                    <xdr:row>53</xdr:row>
                    <xdr:rowOff>66675</xdr:rowOff>
                  </to>
                </anchor>
              </controlPr>
            </control>
          </mc:Choice>
        </mc:AlternateContent>
        <mc:AlternateContent>
          <mc:Choice Requires="x14">
            <control shapeId="4110" r:id="rId17" name="Check Box 14">
              <controlPr defaultSize="0" autoFill="0" autoLine="0" autoPict="0">
                <anchor moveWithCells="1">
                  <from>
                    <xdr:col>2</xdr:col>
                    <xdr:colOff>314325</xdr:colOff>
                    <xdr:row>60</xdr:row>
                    <xdr:rowOff>95250</xdr:rowOff>
                  </from>
                  <to>
                    <xdr:col>9</xdr:col>
                    <xdr:colOff>28575</xdr:colOff>
                    <xdr:row>62</xdr:row>
                    <xdr:rowOff>95250</xdr:rowOff>
                  </to>
                </anchor>
              </controlPr>
            </control>
          </mc:Choice>
        </mc:AlternateContent>
        <mc:AlternateContent>
          <mc:Choice Requires="x14">
            <control shapeId="4111" r:id="rId18" name="Check Box 15">
              <controlPr defaultSize="0" autoFill="0" autoLine="0" autoPict="0">
                <anchor moveWithCells="1">
                  <from>
                    <xdr:col>2</xdr:col>
                    <xdr:colOff>314325</xdr:colOff>
                    <xdr:row>62</xdr:row>
                    <xdr:rowOff>76200</xdr:rowOff>
                  </from>
                  <to>
                    <xdr:col>9</xdr:col>
                    <xdr:colOff>28575</xdr:colOff>
                    <xdr:row>64</xdr:row>
                    <xdr:rowOff>76200</xdr:rowOff>
                  </to>
                </anchor>
              </controlPr>
            </control>
          </mc:Choice>
        </mc:AlternateContent>
        <mc:AlternateContent>
          <mc:Choice Requires="x14">
            <control shapeId="4112" r:id="rId19" name="Check Box 16">
              <controlPr defaultSize="0" autoFill="0" autoLine="0" autoPict="0">
                <anchor moveWithCells="1">
                  <from>
                    <xdr:col>2</xdr:col>
                    <xdr:colOff>9525</xdr:colOff>
                    <xdr:row>56</xdr:row>
                    <xdr:rowOff>0</xdr:rowOff>
                  </from>
                  <to>
                    <xdr:col>9</xdr:col>
                    <xdr:colOff>666750</xdr:colOff>
                    <xdr:row>58</xdr:row>
                    <xdr:rowOff>152400</xdr:rowOff>
                  </to>
                </anchor>
              </controlPr>
            </control>
          </mc:Choice>
        </mc:AlternateContent>
        <mc:AlternateContent>
          <mc:Choice Requires="x14">
            <control shapeId="4113" r:id="rId20" name="Check Box 17">
              <controlPr defaultSize="0" autoFill="0" autoLine="0" autoPict="0">
                <anchor moveWithCells="1">
                  <from>
                    <xdr:col>2</xdr:col>
                    <xdr:colOff>19050</xdr:colOff>
                    <xdr:row>58</xdr:row>
                    <xdr:rowOff>0</xdr:rowOff>
                  </from>
                  <to>
                    <xdr:col>9</xdr:col>
                    <xdr:colOff>676275</xdr:colOff>
                    <xdr:row>60</xdr:row>
                    <xdr:rowOff>152400</xdr:rowOff>
                  </to>
                </anchor>
              </controlPr>
            </control>
          </mc:Choice>
        </mc:AlternateContent>
        <mc:AlternateContent>
          <mc:Choice Requires="x14">
            <control shapeId="4114" r:id="rId21" name="Check Box 18">
              <controlPr defaultSize="0" autoFill="0" autoLine="0" autoPict="0">
                <anchor moveWithCells="1">
                  <from>
                    <xdr:col>2</xdr:col>
                    <xdr:colOff>295275</xdr:colOff>
                    <xdr:row>64</xdr:row>
                    <xdr:rowOff>76200</xdr:rowOff>
                  </from>
                  <to>
                    <xdr:col>9</xdr:col>
                    <xdr:colOff>9525</xdr:colOff>
                    <xdr:row>66</xdr:row>
                    <xdr:rowOff>76200</xdr:rowOff>
                  </to>
                </anchor>
              </controlPr>
            </control>
          </mc:Choice>
        </mc:AlternateContent>
      </controls>
    </mc:Choice>
  </mc:AlternateContent>
</worksheet>
</file>

<file path=xl/worksheets/sheet5.xml><?xml version="1.0" encoding="utf-8"?>
<worksheet xmlns="http://schemas.openxmlformats.org/spreadsheetml/2006/main">
  <sheetPr>
    <tabColor rgb="FFFFFF00"/>
    <outlinePr summaryBelow="1" summaryRight="1"/>
    <pageSetUpPr/>
  </sheetPr>
  <dimension ref="B2:K129"/>
  <sheetViews>
    <sheetView view="pageBreakPreview" zoomScaleNormal="100" zoomScaleSheetLayoutView="100" workbookViewId="0">
      <selection activeCell="C27" sqref="C27"/>
    </sheetView>
  </sheetViews>
  <sheetFormatPr baseColWidth="10" defaultRowHeight="12.75"/>
  <cols>
    <col width="3" customWidth="1" style="510" min="1" max="1"/>
    <col width="57.7109375" customWidth="1" style="510" min="3" max="3"/>
    <col width="11.85546875" customWidth="1" style="510" min="4" max="4"/>
    <col width="14.7109375" customWidth="1" style="510" min="5" max="7"/>
  </cols>
  <sheetData>
    <row r="2" ht="27" customHeight="1" s="510">
      <c r="B2" s="409">
        <f>Bewerbungsformblatt!A1</f>
        <v/>
      </c>
    </row>
    <row r="3">
      <c r="B3" s="28">
        <f>Bewerbungsformblatt!A2</f>
        <v/>
      </c>
      <c r="C3" s="3" t="n"/>
      <c r="D3" s="3" t="n"/>
      <c r="E3" s="3" t="n"/>
      <c r="F3" s="3" t="n"/>
      <c r="G3" s="3" t="n"/>
    </row>
    <row r="4" ht="33" customHeight="1" s="510"/>
    <row r="5" ht="32.25" customHeight="1" s="510">
      <c r="B5" s="25" t="inlineStr">
        <is>
          <t>Bewertungsschema</t>
        </is>
      </c>
      <c r="C5" s="583" t="n"/>
      <c r="D5" s="584" t="n"/>
      <c r="E5" s="25" t="inlineStr">
        <is>
          <t>max. Punktzahl</t>
        </is>
      </c>
      <c r="F5" s="25" t="inlineStr">
        <is>
          <t>Wichtung</t>
        </is>
      </c>
      <c r="G5" s="25" t="inlineStr">
        <is>
          <t>Gesamtpunkte</t>
        </is>
      </c>
    </row>
    <row r="6">
      <c r="B6" s="8" t="n"/>
      <c r="C6" s="9" t="n"/>
      <c r="D6" s="10" t="n"/>
      <c r="E6" s="10" t="n"/>
      <c r="F6" s="18" t="n"/>
      <c r="G6" s="511" t="n"/>
    </row>
    <row r="7" ht="25.5" customHeight="1" s="510">
      <c r="B7" s="21" t="inlineStr">
        <is>
          <t xml:space="preserve">Allgemein: </t>
        </is>
      </c>
      <c r="C7" s="7" t="inlineStr">
        <is>
          <t>Formulare, bei denen Pflichtfelder oder Beiblätter unvollständig ausgefüllt sind.</t>
        </is>
      </c>
      <c r="D7" s="6" t="n"/>
      <c r="E7" s="416" t="inlineStr">
        <is>
          <t>Nichtberücksichtigung des Teilnahmeantrags</t>
        </is>
      </c>
      <c r="G7" s="511" t="n"/>
    </row>
    <row r="8">
      <c r="B8" s="21" t="n"/>
      <c r="C8" s="7" t="n"/>
      <c r="D8" s="6" t="n"/>
      <c r="E8" s="415" t="n"/>
      <c r="F8" s="415" t="n"/>
      <c r="G8" s="416" t="n"/>
    </row>
    <row r="9">
      <c r="B9" s="86" t="inlineStr">
        <is>
          <t>Zu 2.8)</t>
        </is>
      </c>
      <c r="C9" s="62" t="inlineStr">
        <is>
          <t>Eigenerklärung Bezug auf Russland</t>
        </is>
      </c>
      <c r="D9" s="511" t="n"/>
      <c r="E9" s="511" t="n"/>
      <c r="F9" s="19" t="n"/>
      <c r="G9" s="511" t="n"/>
    </row>
    <row r="10">
      <c r="B10" s="86" t="n"/>
      <c r="C10" s="62" t="inlineStr">
        <is>
          <t>Bei Nichtvorlage Eigenerklärung Bezug auf Russland</t>
        </is>
      </c>
      <c r="D10" s="69" t="n"/>
      <c r="E10" s="403" t="inlineStr">
        <is>
          <t>Nichtberücksichtigung des Teilnahmeantrags</t>
        </is>
      </c>
      <c r="G10" s="511" t="n"/>
    </row>
    <row r="11">
      <c r="B11" s="152" t="n"/>
      <c r="D11" s="511" t="n"/>
      <c r="E11" s="511" t="n"/>
      <c r="F11" s="19" t="n"/>
      <c r="G11" s="511" t="n"/>
    </row>
    <row r="12">
      <c r="B12" s="86" t="inlineStr">
        <is>
          <t>Zu 2.9)</t>
        </is>
      </c>
      <c r="C12" s="62" t="inlineStr">
        <is>
          <t>Einheitliche Europäische Eigenerklärung (EEE)</t>
        </is>
      </c>
      <c r="D12" s="67" t="n"/>
      <c r="E12" s="585" t="inlineStr">
        <is>
          <t>optional - siehe Teilnahmebedigungen</t>
        </is>
      </c>
      <c r="G12" s="511" t="n"/>
    </row>
    <row r="13">
      <c r="B13" s="11" t="n"/>
      <c r="D13" s="511" t="n"/>
      <c r="E13" s="511" t="n"/>
      <c r="F13" s="19" t="n"/>
      <c r="G13" s="511" t="n"/>
    </row>
    <row r="14">
      <c r="B14" s="54" t="inlineStr">
        <is>
          <t>zu 3.1)</t>
        </is>
      </c>
      <c r="C14" s="104" t="inlineStr">
        <is>
          <t xml:space="preserve">Fehlende Zertifikate des Unternehmens </t>
        </is>
      </c>
      <c r="D14" s="4" t="n"/>
      <c r="E14" s="416" t="n"/>
      <c r="G14" s="511" t="n"/>
    </row>
    <row r="15" ht="25.5" customHeight="1" s="510">
      <c r="B15" s="54" t="n"/>
      <c r="C15" s="104" t="inlineStr">
        <is>
          <t>a) Eintragung Inhaber/Führungskraft in Liste der Architekten-/Ingenieurkammer</t>
        </is>
      </c>
      <c r="D15" s="4" t="n"/>
      <c r="E15" s="416" t="inlineStr">
        <is>
          <t>Nichtberücksichtigung des Teilnahmeantrags</t>
        </is>
      </c>
      <c r="G15" s="511" t="n"/>
    </row>
    <row r="16" ht="25.5" customHeight="1" s="510">
      <c r="B16" s="54" t="n"/>
      <c r="C16" s="104" t="inlineStr">
        <is>
          <t>b) Studiennachweise und Bescheinigungen der beruflichen Befähigung Inhaber/Führungskräft</t>
        </is>
      </c>
      <c r="D16" s="4" t="n"/>
      <c r="E16" s="586" t="inlineStr">
        <is>
          <t>Nichtberücksichtigung des Teilnahmeantrags</t>
        </is>
      </c>
      <c r="G16" s="511" t="n"/>
    </row>
    <row r="17">
      <c r="B17" s="11" t="n"/>
      <c r="D17" s="511" t="n"/>
      <c r="E17" s="511" t="n"/>
      <c r="F17" s="19" t="n"/>
      <c r="G17" s="511" t="n"/>
    </row>
    <row r="18" ht="25.5" customHeight="1" s="510">
      <c r="B18" s="111" t="inlineStr">
        <is>
          <t>zu 3.2)</t>
        </is>
      </c>
      <c r="C18" s="349" t="inlineStr">
        <is>
          <t>Fehlende Eintragung in einschlägige Berufs- oder Handelsregister (sofern einschlägig)</t>
        </is>
      </c>
      <c r="D18" s="4" t="n"/>
      <c r="E18" s="416" t="inlineStr">
        <is>
          <t>Nichtberücksichtigung des Teilnahmeantrags</t>
        </is>
      </c>
      <c r="G18" s="511" t="n"/>
    </row>
    <row r="19">
      <c r="B19" s="11" t="n"/>
      <c r="D19" s="511" t="n"/>
      <c r="E19" s="511" t="n"/>
      <c r="F19" s="19" t="n"/>
      <c r="G19" s="511" t="n"/>
    </row>
    <row r="20">
      <c r="B20" s="16" t="inlineStr">
        <is>
          <t>zu 4.3)</t>
        </is>
      </c>
      <c r="C20" s="2" t="inlineStr">
        <is>
          <t>Fehlende Anlagen bei ARGE</t>
        </is>
      </c>
      <c r="D20" s="4" t="n"/>
      <c r="E20" s="403" t="inlineStr">
        <is>
          <t>Nichtberücksichtigung des Teilnahmeantrags</t>
        </is>
      </c>
      <c r="G20" s="511" t="n"/>
    </row>
    <row r="21">
      <c r="B21" s="11" t="n"/>
      <c r="C21" s="62" t="inlineStr">
        <is>
          <t>Bei einer ARGE erfolgt eine zusammengefasste Wertung der Punkte</t>
        </is>
      </c>
      <c r="D21" s="4" t="n"/>
      <c r="E21" s="511" t="n"/>
      <c r="F21" s="19" t="n"/>
      <c r="G21" s="511" t="n"/>
    </row>
    <row r="22">
      <c r="B22" s="11" t="n"/>
      <c r="C22" s="62" t="inlineStr">
        <is>
          <t>6, 7, 8, 11</t>
        </is>
      </c>
      <c r="D22" s="4" t="n"/>
      <c r="E22" s="511" t="n"/>
      <c r="F22" s="19" t="n"/>
      <c r="G22" s="511" t="n"/>
    </row>
    <row r="23">
      <c r="B23" s="11" t="n"/>
      <c r="D23" s="511" t="n"/>
      <c r="E23" s="511" t="n"/>
      <c r="F23" s="19" t="n"/>
      <c r="G23" s="511" t="n"/>
    </row>
    <row r="24">
      <c r="B24" s="16" t="inlineStr">
        <is>
          <t>zu 5)</t>
        </is>
      </c>
      <c r="C24" s="2" t="inlineStr">
        <is>
          <t>Fehlende Anlage bei Unterbeauftragung</t>
        </is>
      </c>
      <c r="D24" s="4" t="n"/>
      <c r="E24" s="403" t="inlineStr">
        <is>
          <t>Nichtberücksichtigung des Teilnahmeantrags</t>
        </is>
      </c>
      <c r="G24" s="511" t="n"/>
    </row>
    <row r="25">
      <c r="B25" s="11" t="n"/>
      <c r="D25" s="511" t="n"/>
      <c r="E25" s="511" t="n"/>
      <c r="F25" s="19" t="n"/>
      <c r="G25" s="511" t="n"/>
    </row>
    <row r="26" ht="12.75" customHeight="1" s="510">
      <c r="B26" s="54" t="inlineStr">
        <is>
          <t>zu 6.1)</t>
        </is>
      </c>
      <c r="C26" s="104" t="inlineStr">
        <is>
          <t>Architekten (Dipl.-Ing. univ/TU/TH/FH, Master, Bachelor o. vglb.)</t>
        </is>
      </c>
      <c r="D26" s="4" t="n"/>
      <c r="E26" s="4" t="n"/>
      <c r="F26" s="55" t="n"/>
      <c r="G26" s="4" t="n"/>
    </row>
    <row r="27">
      <c r="B27" s="11" t="n"/>
      <c r="C27" s="62" t="inlineStr">
        <is>
          <t xml:space="preserve"> ≥ 4</t>
        </is>
      </c>
      <c r="D27" s="67" t="inlineStr">
        <is>
          <t xml:space="preserve"> = 3 Pkt.</t>
        </is>
      </c>
      <c r="E27" s="423" t="n">
        <v>3</v>
      </c>
      <c r="F27" s="423" t="n">
        <v>15</v>
      </c>
      <c r="G27" s="423">
        <f>E27*F27</f>
        <v/>
      </c>
    </row>
    <row r="28">
      <c r="B28" s="11" t="n"/>
      <c r="C28" s="153" t="inlineStr">
        <is>
          <t xml:space="preserve"> = 3</t>
        </is>
      </c>
      <c r="D28" s="67" t="inlineStr">
        <is>
          <t xml:space="preserve"> = 2 Pkt.</t>
        </is>
      </c>
      <c r="E28" s="19" t="n"/>
      <c r="F28" s="19" t="n"/>
      <c r="G28" s="19" t="n"/>
    </row>
    <row r="29" ht="13.5" customHeight="1" s="510">
      <c r="B29" s="11" t="n"/>
      <c r="C29" s="62" t="inlineStr">
        <is>
          <t xml:space="preserve"> ≤ 2</t>
        </is>
      </c>
      <c r="D29" s="110" t="inlineStr">
        <is>
          <t xml:space="preserve"> = 1 Pkt</t>
        </is>
      </c>
      <c r="E29" s="19" t="n"/>
      <c r="F29" s="19" t="n"/>
      <c r="G29" s="19" t="n"/>
    </row>
    <row r="30">
      <c r="B30" s="11" t="n"/>
      <c r="C30" s="109" t="n"/>
      <c r="D30" s="110" t="n"/>
      <c r="E30" s="423" t="n"/>
      <c r="F30" s="423" t="n"/>
      <c r="G30" s="60" t="n"/>
    </row>
    <row r="31">
      <c r="B31" s="54" t="inlineStr">
        <is>
          <t>zu 6.2)</t>
        </is>
      </c>
      <c r="C31" s="123" t="inlineStr">
        <is>
          <t>Mitarbeiter, die mit der Bauleitung betraut sind</t>
        </is>
      </c>
      <c r="D31" s="22" t="n"/>
      <c r="E31" s="26" t="n"/>
      <c r="F31" s="26" t="n"/>
      <c r="G31" s="61" t="n"/>
    </row>
    <row r="32">
      <c r="B32" s="111" t="n"/>
      <c r="C32" s="123" t="inlineStr">
        <is>
          <t xml:space="preserve"> ≥ 2</t>
        </is>
      </c>
      <c r="D32" s="67" t="inlineStr">
        <is>
          <t xml:space="preserve"> = 2 Pkt.</t>
        </is>
      </c>
      <c r="E32" s="424" t="n">
        <v>2</v>
      </c>
      <c r="F32" s="424" t="n">
        <v>15</v>
      </c>
      <c r="G32" s="424">
        <f>E32*F32</f>
        <v/>
      </c>
    </row>
    <row r="33">
      <c r="B33" s="11" t="n"/>
      <c r="C33" s="109" t="inlineStr">
        <is>
          <t>= 1</t>
        </is>
      </c>
      <c r="D33" s="110" t="inlineStr">
        <is>
          <t xml:space="preserve"> = 1 Pkt</t>
        </is>
      </c>
      <c r="E33" s="19" t="n"/>
      <c r="F33" s="19" t="n"/>
      <c r="G33" s="19" t="n"/>
    </row>
    <row r="34">
      <c r="B34" s="11" t="n"/>
      <c r="C34" s="56" t="n"/>
      <c r="D34" s="4" t="n"/>
      <c r="E34" s="59" t="n"/>
      <c r="F34" s="423" t="n"/>
      <c r="G34" s="60" t="n"/>
    </row>
    <row r="35" ht="25.5" customHeight="1" s="510">
      <c r="B35" s="11" t="n"/>
      <c r="C35" s="146" t="inlineStr">
        <is>
          <t>Bei Nichtvorlage Organigramm</t>
        </is>
      </c>
      <c r="D35" s="69" t="n"/>
      <c r="E35" s="408" t="inlineStr">
        <is>
          <t>keine Angaben -&gt; Nichtberücksichtigung des Teilnahmeantrags</t>
        </is>
      </c>
      <c r="G35" s="511" t="n"/>
      <c r="K35" s="473" t="n"/>
    </row>
    <row r="36">
      <c r="B36" s="11" t="n"/>
      <c r="C36" s="56" t="n"/>
      <c r="D36" s="4" t="n"/>
      <c r="E36" s="59" t="n"/>
      <c r="F36" s="423" t="n"/>
      <c r="G36" s="60" t="n"/>
    </row>
    <row r="37">
      <c r="B37" s="16" t="inlineStr">
        <is>
          <t>zu 7)</t>
        </is>
      </c>
      <c r="C37" t="inlineStr">
        <is>
          <t>Nachweis der fachlichen Eignung</t>
        </is>
      </c>
      <c r="D37" s="511" t="n"/>
      <c r="E37" s="511" t="n"/>
      <c r="F37" s="19" t="n"/>
      <c r="G37" s="511" t="n"/>
    </row>
    <row r="38">
      <c r="B38" s="11" t="n"/>
      <c r="D38" s="511" t="n"/>
      <c r="E38" s="511" t="n"/>
      <c r="F38" s="19" t="n"/>
      <c r="G38" s="511" t="n"/>
    </row>
    <row r="39">
      <c r="B39" s="11" t="inlineStr">
        <is>
          <t>zu 7.1)</t>
        </is>
      </c>
      <c r="C39" s="2" t="inlineStr">
        <is>
          <t>Rechnerarbeitsplätze</t>
        </is>
      </c>
      <c r="D39" s="511" t="n"/>
      <c r="E39" s="511" t="n"/>
      <c r="F39" s="19" t="n"/>
      <c r="G39" s="511" t="n"/>
    </row>
    <row r="40">
      <c r="B40" s="111" t="n"/>
      <c r="C40" s="123" t="inlineStr">
        <is>
          <t xml:space="preserve"> ≥ 5</t>
        </is>
      </c>
      <c r="D40" s="110" t="inlineStr">
        <is>
          <t xml:space="preserve"> = 3 Pkt.</t>
        </is>
      </c>
      <c r="E40" s="410" t="n">
        <v>3</v>
      </c>
      <c r="F40" s="410" t="n">
        <v>5</v>
      </c>
      <c r="G40" s="410">
        <f>(E40+E45+E49+E53+E57)*F40</f>
        <v/>
      </c>
    </row>
    <row r="41">
      <c r="B41" s="111" t="n"/>
      <c r="C41" s="123" t="inlineStr">
        <is>
          <t xml:space="preserve"> ≥ 3</t>
        </is>
      </c>
      <c r="D41" s="110" t="inlineStr">
        <is>
          <t xml:space="preserve"> = 2 Pkt.</t>
        </is>
      </c>
      <c r="E41" s="19" t="n"/>
      <c r="F41" s="19" t="n"/>
      <c r="G41" s="19" t="n"/>
    </row>
    <row r="42" ht="13.5" customHeight="1" s="510">
      <c r="B42" s="11" t="n"/>
      <c r="C42" s="62" t="inlineStr">
        <is>
          <t xml:space="preserve"> ≤ 2</t>
        </is>
      </c>
      <c r="D42" s="110" t="inlineStr">
        <is>
          <t xml:space="preserve"> = 1 Pkt.</t>
        </is>
      </c>
      <c r="E42" s="19" t="n"/>
      <c r="F42" s="19" t="n"/>
      <c r="G42" s="19" t="n"/>
    </row>
    <row r="43">
      <c r="B43" s="11" t="n"/>
      <c r="D43" s="511" t="n"/>
      <c r="E43" s="24" t="n"/>
      <c r="F43" s="19" t="n"/>
      <c r="G43" s="19" t="n"/>
    </row>
    <row r="44">
      <c r="B44" s="16" t="inlineStr">
        <is>
          <t>zu 7.2)</t>
        </is>
      </c>
      <c r="C44" s="62" t="inlineStr">
        <is>
          <t>Ausschreibungsprogramm (z. B. Bechmann, Orca)</t>
        </is>
      </c>
      <c r="D44" s="511" t="n"/>
      <c r="E44" s="24" t="n"/>
      <c r="F44" s="19" t="n"/>
      <c r="G44" s="19" t="n"/>
    </row>
    <row r="45">
      <c r="B45" s="11" t="n"/>
      <c r="C45" t="inlineStr">
        <is>
          <t>vorhanden</t>
        </is>
      </c>
      <c r="D45" s="22" t="inlineStr">
        <is>
          <t xml:space="preserve"> = 1 Pkt.</t>
        </is>
      </c>
      <c r="E45" s="410" t="n">
        <v>1</v>
      </c>
      <c r="F45" s="19" t="n"/>
      <c r="G45" s="19" t="n"/>
    </row>
    <row r="46">
      <c r="B46" s="11" t="n"/>
      <c r="C46" t="inlineStr">
        <is>
          <t>nicht vorhanden</t>
        </is>
      </c>
      <c r="D46" s="4" t="inlineStr">
        <is>
          <t xml:space="preserve"> = 0 Pkt.</t>
        </is>
      </c>
      <c r="E46" s="19" t="n"/>
      <c r="F46" s="19" t="n"/>
      <c r="G46" s="19" t="n"/>
    </row>
    <row r="47">
      <c r="B47" s="11" t="n"/>
      <c r="D47" s="511" t="n"/>
      <c r="E47" s="24" t="n"/>
      <c r="F47" s="19" t="n"/>
      <c r="G47" s="19" t="n"/>
    </row>
    <row r="48">
      <c r="B48" s="16" t="inlineStr">
        <is>
          <t>zu 7.3)</t>
        </is>
      </c>
      <c r="C48" t="inlineStr">
        <is>
          <t>MS Projekt oder kompatibles Programm</t>
        </is>
      </c>
      <c r="D48" s="22" t="n"/>
      <c r="E48" s="319" t="n"/>
      <c r="F48" s="19" t="n"/>
      <c r="G48" s="19" t="n"/>
    </row>
    <row r="49">
      <c r="B49" s="16" t="n"/>
      <c r="C49" s="62" t="inlineStr">
        <is>
          <t>vorhanden</t>
        </is>
      </c>
      <c r="D49" s="22" t="inlineStr">
        <is>
          <t xml:space="preserve"> = 1 Pkt.</t>
        </is>
      </c>
      <c r="E49" s="410" t="n">
        <v>1</v>
      </c>
      <c r="F49" s="19" t="n"/>
      <c r="G49" s="19" t="n"/>
    </row>
    <row r="50">
      <c r="B50" s="16" t="n"/>
      <c r="C50" t="inlineStr">
        <is>
          <t>nicht vorhanden</t>
        </is>
      </c>
      <c r="D50" s="4" t="inlineStr">
        <is>
          <t xml:space="preserve"> = 0 Pkt.</t>
        </is>
      </c>
      <c r="E50" s="19" t="n"/>
      <c r="F50" s="19" t="n"/>
      <c r="G50" s="19" t="n"/>
    </row>
    <row r="51">
      <c r="B51" s="11" t="n"/>
      <c r="E51" s="410" t="n"/>
      <c r="F51" s="19" t="n"/>
      <c r="G51" s="19" t="n"/>
    </row>
    <row r="52">
      <c r="B52" s="16" t="inlineStr">
        <is>
          <t>zu 7.4)</t>
        </is>
      </c>
      <c r="C52" s="62" t="inlineStr">
        <is>
          <t>Kostensteuerungsprogramm</t>
        </is>
      </c>
      <c r="D52" s="22" t="n"/>
      <c r="E52" s="319" t="n"/>
      <c r="F52" s="19" t="n"/>
      <c r="G52" s="19" t="n"/>
    </row>
    <row r="53">
      <c r="B53" s="11" t="n"/>
      <c r="C53" s="62" t="inlineStr">
        <is>
          <t>vorhanden</t>
        </is>
      </c>
      <c r="D53" s="22" t="inlineStr">
        <is>
          <t xml:space="preserve"> = 1 Pkt.</t>
        </is>
      </c>
      <c r="E53" s="410" t="n">
        <v>1</v>
      </c>
      <c r="F53" s="19" t="n"/>
      <c r="G53" s="19" t="n"/>
    </row>
    <row r="54">
      <c r="B54" s="11" t="n"/>
      <c r="C54" t="inlineStr">
        <is>
          <t>nicht vorhanden</t>
        </is>
      </c>
      <c r="D54" s="4" t="inlineStr">
        <is>
          <t xml:space="preserve"> = 0 Pkt.</t>
        </is>
      </c>
      <c r="E54" s="19" t="n"/>
      <c r="F54" s="19" t="n"/>
      <c r="G54" s="19" t="n"/>
    </row>
    <row r="55">
      <c r="B55" s="11" t="n"/>
      <c r="D55" s="4" t="n"/>
      <c r="E55" s="24" t="n"/>
      <c r="F55" s="19" t="n"/>
      <c r="G55" s="19" t="n"/>
    </row>
    <row r="56">
      <c r="B56" s="16" t="inlineStr">
        <is>
          <t>zu 7.5)</t>
        </is>
      </c>
      <c r="C56" s="62" t="inlineStr">
        <is>
          <t>CAD</t>
        </is>
      </c>
      <c r="D56" s="22" t="n"/>
      <c r="E56" s="319" t="n"/>
      <c r="F56" s="19" t="n"/>
      <c r="G56" s="19" t="n"/>
    </row>
    <row r="57">
      <c r="B57" s="11" t="n"/>
      <c r="C57" s="62" t="inlineStr">
        <is>
          <t>vorhanden</t>
        </is>
      </c>
      <c r="D57" s="22" t="inlineStr">
        <is>
          <t xml:space="preserve"> = 1 Pkt.</t>
        </is>
      </c>
      <c r="E57" s="410" t="n">
        <v>1</v>
      </c>
      <c r="F57" s="19" t="n"/>
      <c r="G57" s="19" t="n"/>
    </row>
    <row r="58">
      <c r="B58" s="11" t="n"/>
      <c r="C58" s="2" t="inlineStr">
        <is>
          <t>nicht vorhanden</t>
        </is>
      </c>
      <c r="D58" s="4" t="inlineStr">
        <is>
          <t xml:space="preserve"> = 0 Pkt.</t>
        </is>
      </c>
      <c r="E58" s="19" t="n"/>
      <c r="F58" s="19" t="n"/>
      <c r="G58" s="19" t="n"/>
    </row>
    <row r="59">
      <c r="B59" s="11" t="n"/>
      <c r="D59" s="511" t="n"/>
      <c r="E59" s="511" t="n"/>
      <c r="F59" s="19" t="n"/>
      <c r="G59" s="511" t="n"/>
    </row>
    <row r="60">
      <c r="B60" s="16" t="inlineStr">
        <is>
          <t>zu 8.1)</t>
        </is>
      </c>
      <c r="C60" t="inlineStr">
        <is>
          <t>zu geringe Deckung</t>
        </is>
      </c>
      <c r="D60" s="511" t="n"/>
      <c r="E60" s="403" t="inlineStr">
        <is>
          <t>Nichtberücksichtigung des Teilnahmeantrags</t>
        </is>
      </c>
      <c r="G60" s="511" t="n"/>
    </row>
    <row r="61">
      <c r="B61" s="11" t="n"/>
      <c r="C61" s="2" t="inlineStr">
        <is>
          <t>Mindestanforderung Berufshaftpflicht:</t>
        </is>
      </c>
      <c r="D61" s="511" t="n"/>
      <c r="E61" s="511" t="n"/>
      <c r="F61" s="19" t="n"/>
      <c r="G61" s="511" t="n"/>
    </row>
    <row r="62">
      <c r="B62" s="11" t="n"/>
      <c r="C62" s="62" t="inlineStr">
        <is>
          <t>Personenschäden     3,0 Mio. €</t>
        </is>
      </c>
      <c r="D62" s="511" t="n"/>
      <c r="E62" s="511" t="n"/>
      <c r="F62" s="19" t="n"/>
      <c r="G62" s="511" t="n"/>
    </row>
    <row r="63">
      <c r="B63" s="11" t="n"/>
      <c r="C63" s="62" t="inlineStr">
        <is>
          <t>Sonstige Schäden     1,0 Mio. €</t>
        </is>
      </c>
      <c r="D63" s="511" t="n"/>
      <c r="E63" s="511" t="n"/>
      <c r="F63" s="19" t="n"/>
      <c r="G63" s="511" t="n"/>
    </row>
    <row r="64">
      <c r="B64" s="11" t="n"/>
      <c r="D64" s="511" t="n"/>
      <c r="E64" s="511" t="n"/>
      <c r="F64" s="19" t="n"/>
      <c r="G64" s="511" t="n"/>
    </row>
    <row r="65">
      <c r="B65" s="16" t="inlineStr">
        <is>
          <t>zu 8.2)</t>
        </is>
      </c>
      <c r="C65" t="inlineStr">
        <is>
          <t>Gesamtumsatz des Bewerbers (netto)</t>
        </is>
      </c>
      <c r="D65" s="511" t="n"/>
      <c r="E65" s="511" t="n"/>
      <c r="F65" s="19" t="n"/>
      <c r="G65" s="511" t="n"/>
    </row>
    <row r="66">
      <c r="B66" s="11" t="n"/>
      <c r="D66" s="511" t="n"/>
      <c r="E66" s="511" t="n"/>
      <c r="F66" s="19" t="n"/>
      <c r="G66" s="511" t="n"/>
    </row>
    <row r="67">
      <c r="B67" s="11" t="n"/>
      <c r="C67" t="inlineStr">
        <is>
          <t>3-Jahresdurchschnitt</t>
        </is>
      </c>
      <c r="D67" s="511" t="n"/>
      <c r="E67" s="511" t="n"/>
      <c r="F67" s="19" t="n"/>
      <c r="G67" s="511" t="n"/>
    </row>
    <row r="68">
      <c r="B68" s="11" t="n"/>
      <c r="C68" s="62" t="inlineStr">
        <is>
          <t xml:space="preserve">≥ 0,75 Mio. €    </t>
        </is>
      </c>
      <c r="D68" s="67" t="inlineStr">
        <is>
          <t xml:space="preserve"> = 3 Pkt.</t>
        </is>
      </c>
      <c r="E68" s="410" t="n">
        <v>3</v>
      </c>
      <c r="F68" s="410" t="n">
        <v>15</v>
      </c>
      <c r="G68" s="410">
        <f>E68*F68</f>
        <v/>
      </c>
    </row>
    <row r="69">
      <c r="B69" s="11" t="n"/>
      <c r="C69" s="62" t="inlineStr">
        <is>
          <t>≥ 0,5 Mio. €</t>
        </is>
      </c>
      <c r="D69" s="67" t="inlineStr">
        <is>
          <t xml:space="preserve"> = 2 Pkt.</t>
        </is>
      </c>
      <c r="E69" s="19" t="n"/>
      <c r="F69" s="19" t="n"/>
      <c r="G69" s="19" t="n"/>
    </row>
    <row r="70">
      <c r="B70" s="11" t="n"/>
      <c r="C70" s="62" t="inlineStr">
        <is>
          <t>&lt; 0,5 Mio. €</t>
        </is>
      </c>
      <c r="D70" s="4" t="inlineStr">
        <is>
          <t xml:space="preserve"> = 1 Pkt.</t>
        </is>
      </c>
      <c r="E70" s="19" t="n"/>
      <c r="F70" s="19" t="n"/>
      <c r="G70" s="19" t="n"/>
    </row>
    <row r="71">
      <c r="B71" s="11" t="n"/>
      <c r="D71" s="511" t="n"/>
      <c r="E71" s="511" t="n"/>
      <c r="F71" s="19" t="n"/>
      <c r="G71" s="511" t="n"/>
    </row>
    <row r="72">
      <c r="B72" s="11" t="inlineStr">
        <is>
          <t>zu 9)</t>
        </is>
      </c>
      <c r="C72" s="68" t="inlineStr">
        <is>
          <t>Nachweise der fachlichen Eignung</t>
        </is>
      </c>
      <c r="D72" s="67" t="n"/>
      <c r="E72" s="24" t="n"/>
      <c r="F72" s="410" t="n"/>
      <c r="G72" s="24" t="n"/>
    </row>
    <row r="73">
      <c r="B73" s="11" t="n"/>
      <c r="C73" s="68" t="n"/>
      <c r="D73" s="67" t="n"/>
      <c r="E73" s="91" t="n"/>
      <c r="F73" s="91" t="n"/>
      <c r="G73" s="24" t="n"/>
    </row>
    <row r="74">
      <c r="B74" s="11" t="n"/>
      <c r="C74" s="68" t="inlineStr">
        <is>
          <t>bei Nichtvorlage der folgenden Unterlagen</t>
        </is>
      </c>
      <c r="D74" s="67" t="n"/>
      <c r="E74" s="587" t="inlineStr">
        <is>
          <t>Nichtberücksichtung des Teilnahmeantrags -&gt; bei fehlenden Unterlagen bzw. Nichterfüllung der geforderten Berufsabschlüsse/Berufsbezeichnungen</t>
        </is>
      </c>
      <c r="G74" s="511" t="n"/>
    </row>
    <row r="75">
      <c r="B75" s="11" t="inlineStr">
        <is>
          <t>zu 9.1)</t>
        </is>
      </c>
      <c r="C75" s="68" t="inlineStr">
        <is>
          <t>Projektleiter - berufliche Nachweise, beruflicher Lebenslauf</t>
        </is>
      </c>
      <c r="D75" s="67" t="n"/>
      <c r="E75" s="11" t="n"/>
      <c r="G75" s="511" t="n"/>
    </row>
    <row r="76">
      <c r="B76" s="11" t="inlineStr">
        <is>
          <t>zu 9.2)</t>
        </is>
      </c>
      <c r="C76" s="68" t="inlineStr">
        <is>
          <t>stellv. Projektleiter - berufliche Nachweise, beruflicher Lebenslauf</t>
        </is>
      </c>
      <c r="D76" s="511" t="n"/>
      <c r="E76" s="11" t="n"/>
      <c r="G76" s="511" t="n"/>
    </row>
    <row r="77">
      <c r="B77" s="11" t="inlineStr">
        <is>
          <t>zu 9.3)</t>
        </is>
      </c>
      <c r="C77" s="68" t="inlineStr">
        <is>
          <t>Bauleitung  - berufliche Nachweise, beruflicher Lebenslauf</t>
        </is>
      </c>
      <c r="D77" s="511" t="n"/>
      <c r="E77" s="11" t="n"/>
      <c r="G77" s="511" t="n"/>
    </row>
    <row r="78">
      <c r="B78" s="11" t="n"/>
      <c r="C78" s="68" t="n"/>
      <c r="D78" s="511" t="n"/>
      <c r="E78" s="92" t="n"/>
      <c r="F78" s="93" t="n"/>
      <c r="G78" s="94" t="n"/>
    </row>
    <row r="79">
      <c r="B79" s="86" t="inlineStr">
        <is>
          <t>10)</t>
        </is>
      </c>
      <c r="C79" s="68" t="inlineStr">
        <is>
          <t>bei Nichtvorlage der Erklärung</t>
        </is>
      </c>
      <c r="D79" s="511" t="n"/>
      <c r="E79" s="588" t="inlineStr">
        <is>
          <t>Nichtberücksichtung des Teilnahmeantrags</t>
        </is>
      </c>
      <c r="G79" s="511" t="n"/>
    </row>
    <row r="80">
      <c r="B80" s="13" t="n"/>
      <c r="C80" s="1" t="n"/>
      <c r="D80" s="15" t="n"/>
      <c r="E80" s="15" t="n"/>
      <c r="F80" s="20" t="n"/>
      <c r="G80" s="15" t="n"/>
    </row>
    <row r="83" ht="4.5" customHeight="1" s="510"/>
    <row r="84" ht="32.25" customHeight="1" s="510">
      <c r="B84" s="25" t="inlineStr">
        <is>
          <t>Bewertungsschema</t>
        </is>
      </c>
      <c r="C84" s="583" t="n"/>
      <c r="D84" s="584" t="n"/>
      <c r="E84" s="25" t="inlineStr">
        <is>
          <t>max. Punktzahl</t>
        </is>
      </c>
      <c r="F84" s="25" t="inlineStr">
        <is>
          <t>Wichtung</t>
        </is>
      </c>
      <c r="G84" s="25" t="inlineStr">
        <is>
          <t>Gesamtpunkte</t>
        </is>
      </c>
    </row>
    <row r="85">
      <c r="B85" s="8" t="n"/>
      <c r="C85" s="9" t="n"/>
      <c r="D85" s="10" t="n"/>
      <c r="E85" s="10" t="n"/>
      <c r="F85" s="18" t="n"/>
      <c r="G85" s="511" t="n"/>
    </row>
    <row r="86">
      <c r="B86" s="85" t="inlineStr">
        <is>
          <t>zu 11)</t>
        </is>
      </c>
      <c r="C86" s="7" t="inlineStr">
        <is>
          <t>zu Referenznachweis Büro:</t>
        </is>
      </c>
      <c r="D86" s="7" t="n"/>
      <c r="E86" s="589" t="inlineStr">
        <is>
          <t>&lt; zwei wertbare Referenzen 
= Nichtberücksichtung des Teilnahmeantrags</t>
        </is>
      </c>
      <c r="G86" s="511" t="n"/>
    </row>
    <row r="87" ht="21" customHeight="1" s="510">
      <c r="B87" s="11" t="n"/>
      <c r="E87" s="11" t="n"/>
      <c r="G87" s="511" t="n"/>
    </row>
    <row r="88" ht="17.25" customHeight="1" s="510">
      <c r="B88" s="16" t="n"/>
      <c r="C88" s="359">
        <f>Bewerbungsformblatt!B191</f>
        <v/>
      </c>
      <c r="D88" s="421" t="inlineStr">
        <is>
          <t>0 - 5</t>
        </is>
      </c>
      <c r="E88" s="410" t="n">
        <v>5</v>
      </c>
      <c r="F88" s="410" t="n">
        <v>50</v>
      </c>
      <c r="G88" s="410">
        <f>E88*F88</f>
        <v/>
      </c>
    </row>
    <row r="89">
      <c r="B89" s="11" t="n"/>
      <c r="D89" s="511" t="n"/>
      <c r="E89" s="19" t="n"/>
      <c r="F89" s="19" t="n"/>
      <c r="G89" s="19" t="n"/>
    </row>
    <row r="90">
      <c r="B90" s="11" t="n"/>
      <c r="D90" s="511" t="n"/>
      <c r="E90" s="19" t="n"/>
      <c r="F90" s="19" t="n"/>
      <c r="G90" s="19" t="n"/>
    </row>
    <row r="91">
      <c r="B91" s="11" t="n"/>
      <c r="D91" s="511" t="n"/>
      <c r="E91" s="19" t="n"/>
      <c r="F91" s="19" t="n"/>
      <c r="G91" s="19" t="n"/>
    </row>
    <row r="92">
      <c r="B92" s="16" t="n"/>
      <c r="D92" s="511" t="n"/>
      <c r="E92" s="19" t="n"/>
      <c r="F92" s="19" t="n"/>
      <c r="G92" s="19" t="n"/>
    </row>
    <row r="93" ht="2.25" customHeight="1" s="510">
      <c r="B93" s="11" t="n"/>
      <c r="D93" s="511" t="n"/>
      <c r="E93" s="19" t="n"/>
      <c r="F93" s="19" t="n"/>
      <c r="G93" s="19" t="n"/>
    </row>
    <row r="94" ht="2.25" customHeight="1" s="510">
      <c r="B94" s="16" t="n"/>
      <c r="D94" s="511" t="n"/>
      <c r="E94" s="19" t="n"/>
      <c r="F94" s="19" t="n"/>
      <c r="G94" s="19" t="n"/>
    </row>
    <row r="95" hidden="1" ht="12.75" customHeight="1" s="510">
      <c r="B95" s="11" t="n"/>
      <c r="D95" s="511" t="n"/>
      <c r="E95" s="19" t="n"/>
      <c r="F95" s="19" t="n"/>
      <c r="G95" s="19" t="n"/>
    </row>
    <row r="96" hidden="1" ht="12.75" customHeight="1" s="510">
      <c r="B96" s="11" t="n"/>
      <c r="D96" s="511" t="n"/>
      <c r="E96" s="19" t="n"/>
      <c r="F96" s="19" t="n"/>
      <c r="G96" s="19" t="n"/>
    </row>
    <row r="97" hidden="1" ht="12.75" customHeight="1" s="510">
      <c r="B97" s="11" t="n"/>
      <c r="D97" s="511" t="n"/>
      <c r="E97" s="19" t="n"/>
      <c r="F97" s="19" t="n"/>
      <c r="G97" s="19" t="n"/>
    </row>
    <row r="98" hidden="1" ht="12.75" customHeight="1" s="510">
      <c r="B98" s="11" t="n"/>
      <c r="D98" s="511" t="n"/>
      <c r="E98" s="19" t="n"/>
      <c r="F98" s="19" t="n"/>
      <c r="G98" s="19" t="n"/>
    </row>
    <row r="99" hidden="1" ht="12.75" customHeight="1" s="510">
      <c r="B99" s="11" t="n"/>
      <c r="D99" s="511" t="n"/>
      <c r="E99" s="19" t="n"/>
      <c r="F99" s="19" t="n"/>
      <c r="G99" s="19" t="n"/>
    </row>
    <row r="100" hidden="1" ht="12.75" customHeight="1" s="510">
      <c r="B100" s="16" t="n"/>
      <c r="D100" s="511" t="n"/>
      <c r="E100" s="19" t="n"/>
      <c r="F100" s="19" t="n"/>
      <c r="G100" s="19" t="n"/>
    </row>
    <row r="101" hidden="1" ht="12.75" customHeight="1" s="510">
      <c r="B101" s="11" t="n"/>
      <c r="D101" s="511" t="n"/>
      <c r="E101" s="19" t="n"/>
      <c r="F101" s="19" t="n"/>
      <c r="G101" s="19" t="n"/>
    </row>
    <row r="102" hidden="1" ht="12.75" customHeight="1" s="510">
      <c r="B102" s="11" t="n"/>
      <c r="D102" s="511" t="n"/>
      <c r="E102" s="19" t="n"/>
      <c r="F102" s="19" t="n"/>
      <c r="G102" s="19" t="n"/>
    </row>
    <row r="103" hidden="1" ht="12.75" customHeight="1" s="510">
      <c r="B103" s="11" t="n"/>
      <c r="D103" s="511" t="n"/>
      <c r="E103" s="19" t="n"/>
      <c r="F103" s="19" t="n"/>
      <c r="G103" s="19" t="n"/>
    </row>
    <row r="104">
      <c r="B104" s="11" t="n"/>
      <c r="C104" s="359">
        <f>Bewerbungsformblatt!B194</f>
        <v/>
      </c>
      <c r="D104" s="511" t="n"/>
      <c r="E104" s="19" t="n"/>
      <c r="F104" s="19" t="n"/>
      <c r="G104" s="19" t="n"/>
    </row>
    <row r="105">
      <c r="B105" s="16" t="n"/>
      <c r="D105" s="511" t="n"/>
      <c r="E105" s="19" t="n"/>
      <c r="F105" s="19" t="n"/>
      <c r="G105" s="19" t="n"/>
    </row>
    <row r="106">
      <c r="B106" s="16" t="n"/>
      <c r="D106" s="511" t="n"/>
      <c r="E106" s="19" t="n"/>
      <c r="F106" s="19" t="n"/>
      <c r="G106" s="19" t="n"/>
    </row>
    <row r="107">
      <c r="B107" s="16" t="n"/>
      <c r="D107" s="511" t="n"/>
      <c r="E107" s="19" t="n"/>
      <c r="F107" s="19" t="n"/>
      <c r="G107" s="19" t="n"/>
    </row>
    <row r="108">
      <c r="B108" s="11" t="n"/>
      <c r="D108" s="511" t="n"/>
      <c r="E108" s="19" t="n"/>
      <c r="F108" s="19" t="n"/>
      <c r="G108" s="19" t="n"/>
    </row>
    <row r="109">
      <c r="B109" s="16" t="n"/>
      <c r="D109" s="511" t="n"/>
      <c r="E109" s="19" t="n"/>
      <c r="F109" s="19" t="n"/>
      <c r="G109" s="19" t="n"/>
    </row>
    <row r="110">
      <c r="B110" s="11" t="n"/>
      <c r="D110" s="511" t="n"/>
      <c r="E110" s="19" t="n"/>
      <c r="F110" s="19" t="n"/>
      <c r="G110" s="19" t="n"/>
    </row>
    <row r="111">
      <c r="B111" s="11" t="n"/>
      <c r="D111" s="511" t="n"/>
      <c r="E111" s="19" t="n"/>
      <c r="F111" s="19" t="n"/>
      <c r="G111" s="19" t="n"/>
    </row>
    <row r="112">
      <c r="B112" s="11" t="n"/>
      <c r="D112" s="511" t="n"/>
      <c r="E112" s="19" t="n"/>
      <c r="F112" s="19" t="n"/>
      <c r="G112" s="19" t="n"/>
    </row>
    <row r="113" ht="86.25" customHeight="1" s="510">
      <c r="B113" s="11" t="n"/>
      <c r="D113" s="511" t="n"/>
      <c r="E113" s="19" t="n"/>
      <c r="F113" s="19" t="n"/>
      <c r="G113" s="19" t="n"/>
    </row>
    <row r="114" ht="72" customHeight="1" s="510">
      <c r="B114" s="11" t="n"/>
      <c r="C114" s="338">
        <f>Bewerbungsformblatt!B195</f>
        <v/>
      </c>
      <c r="D114" s="511" t="n"/>
      <c r="E114" s="19" t="n"/>
      <c r="F114" s="19" t="n"/>
      <c r="G114" s="19" t="n"/>
    </row>
    <row r="115" ht="15" customHeight="1" s="510">
      <c r="B115" s="11">
        <f>Bewerbungsformblatt!B196</f>
        <v/>
      </c>
      <c r="C115" s="338">
        <f>Bewerbungsformblatt!C196</f>
        <v/>
      </c>
      <c r="D115" s="511" t="n"/>
      <c r="E115" s="19" t="n"/>
      <c r="F115" s="19" t="n"/>
      <c r="G115" s="19" t="n"/>
    </row>
    <row r="116" ht="15" customHeight="1" s="510">
      <c r="B116" s="11">
        <f>Bewerbungsformblatt!B197</f>
        <v/>
      </c>
      <c r="C116" s="338">
        <f>Bewerbungsformblatt!C197</f>
        <v/>
      </c>
      <c r="D116" s="511" t="n"/>
      <c r="E116" s="19" t="n"/>
      <c r="F116" s="19" t="n"/>
      <c r="G116" s="19" t="n"/>
    </row>
    <row r="117" ht="15" customHeight="1" s="510">
      <c r="B117" s="11">
        <f>Bewerbungsformblatt!B198</f>
        <v/>
      </c>
      <c r="C117" s="338">
        <f>Bewerbungsformblatt!C198</f>
        <v/>
      </c>
      <c r="D117" s="511" t="n"/>
      <c r="E117" s="19" t="n"/>
      <c r="F117" s="19" t="n"/>
      <c r="G117" s="19" t="n"/>
    </row>
    <row r="118" ht="15" customHeight="1" s="510">
      <c r="B118" s="11" t="n"/>
      <c r="C118" s="338" t="n"/>
      <c r="D118" s="511" t="n"/>
      <c r="E118" s="19" t="n"/>
      <c r="F118" s="19" t="n"/>
      <c r="G118" s="19" t="n"/>
    </row>
    <row r="119" ht="44.25" customHeight="1" s="510">
      <c r="B119" s="11" t="n"/>
      <c r="C119" s="338">
        <f>Bewerbungsformblatt!B199</f>
        <v/>
      </c>
      <c r="D119" s="511" t="n"/>
      <c r="E119" s="19" t="n"/>
      <c r="F119" s="19" t="n"/>
      <c r="G119" s="19" t="n"/>
    </row>
    <row r="120" ht="15" customHeight="1" s="510">
      <c r="B120" s="11">
        <f>Bewerbungsformblatt!B200</f>
        <v/>
      </c>
      <c r="C120" s="338">
        <f>Bewerbungsformblatt!C200</f>
        <v/>
      </c>
      <c r="D120" s="511" t="n"/>
      <c r="E120" s="19" t="n"/>
      <c r="F120" s="19" t="n"/>
      <c r="G120" s="19" t="n"/>
    </row>
    <row r="121" ht="15" customHeight="1" s="510">
      <c r="B121" s="11">
        <f>Bewerbungsformblatt!B201</f>
        <v/>
      </c>
      <c r="C121" s="338">
        <f>Bewerbungsformblatt!C201</f>
        <v/>
      </c>
      <c r="D121" s="511" t="n"/>
      <c r="E121" s="19" t="n"/>
      <c r="F121" s="19" t="n"/>
      <c r="G121" s="19" t="n"/>
    </row>
    <row r="122" ht="15" customHeight="1" s="510">
      <c r="B122" s="11">
        <f>Bewerbungsformblatt!B202</f>
        <v/>
      </c>
      <c r="C122" s="338">
        <f>Bewerbungsformblatt!C202</f>
        <v/>
      </c>
      <c r="D122" s="511" t="n"/>
      <c r="E122" s="19" t="n"/>
      <c r="F122" s="19" t="n"/>
      <c r="G122" s="19" t="n"/>
    </row>
    <row r="123" ht="15" customHeight="1" s="510">
      <c r="B123" s="11">
        <f>Bewerbungsformblatt!B203</f>
        <v/>
      </c>
      <c r="C123" s="338">
        <f>Bewerbungsformblatt!C203</f>
        <v/>
      </c>
      <c r="D123" s="511" t="n"/>
      <c r="E123" s="19" t="n"/>
      <c r="F123" s="19" t="n"/>
      <c r="G123" s="19" t="n"/>
    </row>
    <row r="124" ht="15" customHeight="1" s="510">
      <c r="B124" s="11">
        <f>Bewerbungsformblatt!B204</f>
        <v/>
      </c>
      <c r="C124" s="338">
        <f>Bewerbungsformblatt!C204</f>
        <v/>
      </c>
      <c r="D124" s="511" t="n"/>
      <c r="E124" s="19" t="n"/>
      <c r="F124" s="19" t="n"/>
      <c r="G124" s="19" t="n"/>
    </row>
    <row r="125" ht="15" customHeight="1" s="510">
      <c r="B125" s="11">
        <f>Bewerbungsformblatt!B205</f>
        <v/>
      </c>
      <c r="C125" s="338">
        <f>Bewerbungsformblatt!C205</f>
        <v/>
      </c>
      <c r="D125" s="511" t="n"/>
      <c r="E125" s="19" t="n"/>
      <c r="F125" s="19" t="n"/>
      <c r="G125" s="19" t="n"/>
    </row>
    <row r="126" ht="15" customHeight="1" s="510">
      <c r="B126" s="11">
        <f>Bewerbungsformblatt!B206</f>
        <v/>
      </c>
      <c r="C126" s="338">
        <f>Bewerbungsformblatt!C206</f>
        <v/>
      </c>
      <c r="D126" s="511" t="n"/>
      <c r="E126" s="19" t="n"/>
      <c r="F126" s="19" t="n"/>
      <c r="G126" s="19" t="n"/>
    </row>
    <row r="127" ht="15" customHeight="1" s="510">
      <c r="B127" s="11">
        <f>Bewerbungsformblatt!B207</f>
        <v/>
      </c>
      <c r="C127" s="338">
        <f>Bewerbungsformblatt!C207</f>
        <v/>
      </c>
      <c r="D127" s="511" t="n"/>
      <c r="E127" s="19" t="n"/>
      <c r="F127" s="19" t="n"/>
      <c r="G127" s="19" t="n"/>
    </row>
    <row r="128" ht="14.25" customHeight="1" s="510" thickBot="1">
      <c r="B128" s="13" t="n"/>
      <c r="C128" s="27" t="n"/>
      <c r="D128" s="15" t="n"/>
      <c r="E128" s="20" t="n"/>
      <c r="F128" s="20" t="n"/>
      <c r="G128" s="20" t="n"/>
    </row>
    <row r="129" ht="13.5" customHeight="1" s="510" thickBot="1">
      <c r="B129" s="112" t="inlineStr">
        <is>
          <t>Max. Gesamtpunkte</t>
        </is>
      </c>
      <c r="C129" s="14" t="n"/>
      <c r="D129" s="14" t="n"/>
      <c r="E129" s="113" t="n"/>
      <c r="F129" s="114">
        <f>F88+F68+F40+F32+F27</f>
        <v/>
      </c>
      <c r="G129" s="115">
        <f>G88+G68+G40+G32+G27</f>
        <v/>
      </c>
    </row>
  </sheetData>
  <sheetProtection selectLockedCells="0" selectUnlockedCells="0" algorithmName="SHA-512" sheet="1" objects="1" insertRows="1" insertHyperlinks="1" autoFilter="1" scenarios="1" formatColumns="1" deleteColumns="1" insertColumns="1" pivotTables="1" deleteRows="1" formatCells="1" saltValue="gbmNg1X6xdS2LXCS/5KE9w==" formatRows="1" sort="1" spinCount="100000" hashValue="j6abshECEfyDsXNUIzGlYHYcqoky80uZTE9t/IPh2Y9CMeNEvnXw1xPJeACdyGRd/pIb77Yg6fylGuoEnbJXng=="/>
  <mergeCells count="39">
    <mergeCell ref="B2:G2"/>
    <mergeCell ref="E10:G10"/>
    <mergeCell ref="E27:E29"/>
    <mergeCell ref="E60:G60"/>
    <mergeCell ref="F27:F29"/>
    <mergeCell ref="E15:G15"/>
    <mergeCell ref="G40:G58"/>
    <mergeCell ref="F32:F33"/>
    <mergeCell ref="F40:F58"/>
    <mergeCell ref="B84:D84"/>
    <mergeCell ref="C104:C113"/>
    <mergeCell ref="E49:E50"/>
    <mergeCell ref="E7:G7"/>
    <mergeCell ref="G88:G127"/>
    <mergeCell ref="G27:G29"/>
    <mergeCell ref="E16:G16"/>
    <mergeCell ref="B5:D5"/>
    <mergeCell ref="E32:E33"/>
    <mergeCell ref="E68:E70"/>
    <mergeCell ref="D88:D127"/>
    <mergeCell ref="F88:F127"/>
    <mergeCell ref="F68:F70"/>
    <mergeCell ref="E12:G12"/>
    <mergeCell ref="E45:E46"/>
    <mergeCell ref="E18:G18"/>
    <mergeCell ref="E57:E58"/>
    <mergeCell ref="G32:G33"/>
    <mergeCell ref="E86:G87"/>
    <mergeCell ref="E24:G24"/>
    <mergeCell ref="C88:C103"/>
    <mergeCell ref="E53:E54"/>
    <mergeCell ref="E14:G14"/>
    <mergeCell ref="E88:E127"/>
    <mergeCell ref="E74:G77"/>
    <mergeCell ref="E79:G79"/>
    <mergeCell ref="E35:G35"/>
    <mergeCell ref="G68:G70"/>
    <mergeCell ref="E20:G20"/>
    <mergeCell ref="E40:E42"/>
  </mergeCells>
  <pageMargins left="0.5118110236220472" right="0.1181102362204725" top="0.5905511811023623" bottom="0.3937007874015748" header="0.3149606299212598" footer="0.3149606299212598"/>
  <pageSetup orientation="portrait" paperSize="9" scale="66"/>
  <rowBreaks count="1" manualBreakCount="1">
    <brk id="80" min="0" max="16383" man="1"/>
  </rowBreaks>
</worksheet>
</file>

<file path=xl/worksheets/sheet6.xml><?xml version="1.0" encoding="utf-8"?>
<worksheet xmlns="http://schemas.openxmlformats.org/spreadsheetml/2006/main">
  <sheetPr>
    <tabColor rgb="FF0070C0"/>
    <outlinePr summaryBelow="1" summaryRight="1"/>
    <pageSetUpPr/>
  </sheetPr>
  <dimension ref="A2:S20"/>
  <sheetViews>
    <sheetView view="pageBreakPreview" zoomScale="115" zoomScaleNormal="100" zoomScaleSheetLayoutView="115" workbookViewId="0">
      <selection activeCell="E20" sqref="E20:H20"/>
    </sheetView>
  </sheetViews>
  <sheetFormatPr baseColWidth="10" defaultColWidth="11.42578125" defaultRowHeight="12.75"/>
  <cols>
    <col width="15.7109375" customWidth="1" style="158" min="1" max="1"/>
    <col width="38.28515625" customWidth="1" style="158" min="2" max="2"/>
    <col width="11.42578125" customWidth="1" style="158" min="3" max="3"/>
    <col width="13.85546875" customWidth="1" style="158" min="4" max="4"/>
    <col width="11.42578125" customWidth="1" style="158" min="5" max="7"/>
    <col width="30.5703125" customWidth="1" style="158" min="8" max="8"/>
    <col width="20.5703125" customWidth="1" style="158" min="9" max="9"/>
    <col width="11.42578125" customWidth="1" style="158" min="10" max="10"/>
    <col width="11.42578125" customWidth="1" style="158" min="11" max="16384"/>
  </cols>
  <sheetData>
    <row r="2" ht="15.75" customHeight="1" s="510">
      <c r="A2" s="350">
        <f>Bewerbungsformblatt!A1</f>
        <v/>
      </c>
      <c r="H2" s="197" t="n"/>
      <c r="I2" s="197" t="n"/>
      <c r="J2" s="197" t="n"/>
    </row>
    <row r="3" ht="4.5" customHeight="1" s="510">
      <c r="H3" s="197" t="n"/>
      <c r="I3" s="197" t="n"/>
      <c r="J3" s="197" t="n"/>
    </row>
    <row r="4" ht="18.75" customHeight="1" s="510">
      <c r="A4" s="435">
        <f>Bewerbungsformblatt!A2</f>
        <v/>
      </c>
      <c r="H4" s="197" t="n"/>
      <c r="I4" s="197" t="n"/>
      <c r="J4" s="197" t="n"/>
    </row>
    <row r="5">
      <c r="B5" s="198" t="n"/>
      <c r="C5" s="161" t="n"/>
      <c r="D5" s="161" t="n"/>
      <c r="E5" s="161" t="n"/>
      <c r="F5" s="161" t="n"/>
      <c r="G5" s="198" t="n"/>
      <c r="H5" s="197" t="n"/>
      <c r="I5" s="197" t="n"/>
      <c r="J5" s="197" t="n"/>
    </row>
    <row r="6" ht="21" customHeight="1" s="510">
      <c r="A6" s="217" t="inlineStr">
        <is>
          <t>Büro:</t>
        </is>
      </c>
      <c r="B6" s="215" t="n"/>
      <c r="C6" s="436" t="inlineStr">
        <is>
          <t>Hansa Planungsgruppe GmbH</t>
        </is>
      </c>
      <c r="D6" s="590" t="n"/>
      <c r="E6" s="590" t="n"/>
      <c r="F6" s="590" t="n"/>
      <c r="G6" s="590" t="n"/>
      <c r="H6" s="591" t="n"/>
    </row>
    <row r="7" ht="22.5" customHeight="1" s="510">
      <c r="A7" s="438" t="inlineStr">
        <is>
          <t>Referenz-Nummer:</t>
        </is>
      </c>
      <c r="B7" s="511" t="n"/>
      <c r="C7" s="439" t="n">
        <v>1</v>
      </c>
      <c r="D7" s="590" t="n"/>
      <c r="E7" s="590" t="n"/>
      <c r="F7" s="590" t="n"/>
      <c r="G7" s="590" t="n"/>
      <c r="H7" s="591" t="n"/>
    </row>
    <row r="8">
      <c r="B8" s="199" t="n"/>
      <c r="C8" s="199" t="n"/>
      <c r="D8" s="199" t="n"/>
      <c r="E8" s="199" t="n"/>
      <c r="F8" s="199" t="n"/>
      <c r="G8" s="199" t="n"/>
      <c r="H8" s="199" t="n"/>
    </row>
    <row r="9" ht="12.75" customHeight="1" s="510">
      <c r="A9" s="425" t="inlineStr">
        <is>
          <t xml:space="preserve">Mindestkriterium / Wertungs- kriterium Nummer </t>
        </is>
      </c>
      <c r="B9" s="592" t="inlineStr">
        <is>
          <t>Referenzprojekt:</t>
        </is>
      </c>
      <c r="C9" s="593" t="inlineStr">
        <is>
          <t>jede Zeile ist auszufüllen - bei fehlenden Angaben oder nicht eindeutigen Angaben 
-&gt; keine Wertung der Referenz
Die Mindestkriterien sind zwingend zu erfüllen -&gt; ansonsten keine Wertung der Referenz</t>
        </is>
      </c>
      <c r="D9" s="9" t="n"/>
      <c r="E9" s="9" t="n"/>
      <c r="F9" s="9" t="n"/>
      <c r="G9" s="9" t="n"/>
      <c r="H9" s="10" t="n"/>
    </row>
    <row r="10" ht="51.75" customHeight="1" s="510">
      <c r="A10" s="20" t="n"/>
      <c r="B10" s="20" t="n"/>
      <c r="C10" s="13" t="n"/>
      <c r="D10" s="14" t="n"/>
      <c r="E10" s="14" t="n"/>
      <c r="F10" s="14" t="n"/>
      <c r="G10" s="14" t="n"/>
      <c r="H10" s="15" t="n"/>
    </row>
    <row r="11" ht="99.95" customHeight="1" s="510">
      <c r="A11" s="219" t="inlineStr">
        <is>
          <t xml:space="preserve"> -</t>
        </is>
      </c>
      <c r="B11" s="218" t="inlineStr">
        <is>
          <t>Bezeichnung des Projekts 
(Benennung des BH einschl. Kontaktdaten)</t>
        </is>
      </c>
      <c r="C11" s="436" t="inlineStr">
        <is>
          <t>Energetische Sanierung und Erweiterung Schulcampus Nord, Freie und Hansestadt Hamburg, SBH | Schulbau Hamburg, An der Stadthausbrücke 1, 20355 Hamburg</t>
        </is>
      </c>
      <c r="D11" s="590" t="n"/>
      <c r="E11" s="590" t="n"/>
      <c r="F11" s="590" t="n"/>
      <c r="G11" s="590" t="n"/>
      <c r="H11" s="591" t="n"/>
      <c r="L11" s="200" t="n"/>
      <c r="M11" s="200" t="n"/>
      <c r="N11" s="200" t="n"/>
      <c r="O11" s="200" t="n"/>
      <c r="P11" s="200" t="n"/>
      <c r="Q11" s="200" t="n"/>
      <c r="R11" s="200" t="n"/>
      <c r="S11" s="200" t="n"/>
    </row>
    <row r="12" ht="80.09999999999999" customHeight="1" s="510">
      <c r="A12" s="133" t="inlineStr">
        <is>
          <t>Mindestkriterium 1</t>
        </is>
      </c>
      <c r="B12" s="131">
        <f>'Bewertungsschema Referenzen'!B8</f>
        <v/>
      </c>
      <c r="C12" s="594" t="inlineStr">
        <is>
          <t>August 2023</t>
        </is>
      </c>
      <c r="D12" s="590" t="n"/>
      <c r="E12" s="590" t="n"/>
      <c r="F12" s="590" t="n"/>
      <c r="G12" s="590" t="n"/>
      <c r="H12" s="591" t="n"/>
      <c r="L12" s="200" t="n"/>
      <c r="M12" s="200" t="n"/>
      <c r="N12" s="200" t="n"/>
      <c r="O12" s="200" t="n"/>
      <c r="P12" s="200" t="n"/>
      <c r="Q12" s="200" t="n"/>
      <c r="R12" s="200" t="n"/>
      <c r="S12" s="200" t="n"/>
    </row>
    <row r="13" ht="80.09999999999999" customHeight="1" s="510">
      <c r="A13" s="133" t="inlineStr">
        <is>
          <t>Mindestkriterium 2</t>
        </is>
      </c>
      <c r="B13" s="134">
        <f>'Bewertungsschema Referenzen'!B9</f>
        <v/>
      </c>
      <c r="C13" s="595" t="inlineStr">
        <is>
          <t>Ja, Honorarzone Objektplanung: III</t>
        </is>
      </c>
      <c r="D13" s="590" t="n"/>
      <c r="E13" s="590" t="n"/>
      <c r="F13" s="590" t="n"/>
      <c r="G13" s="590" t="n"/>
      <c r="H13" s="591" t="n"/>
      <c r="L13" s="200" t="n"/>
      <c r="M13" s="200" t="n"/>
      <c r="N13" s="200" t="n"/>
      <c r="O13" s="200" t="n"/>
      <c r="P13" s="200" t="n"/>
      <c r="Q13" s="200" t="n"/>
      <c r="R13" s="200" t="n"/>
      <c r="S13" s="200" t="n"/>
    </row>
    <row r="14" ht="80.09999999999999" customHeight="1" s="510">
      <c r="A14" s="220" t="inlineStr">
        <is>
          <t>Wettbewerbs- kriterium 1</t>
        </is>
      </c>
      <c r="B14" s="138">
        <f>'Bewertungsschema Referenzen'!B10</f>
        <v/>
      </c>
      <c r="C14" s="596" t="inlineStr">
        <is>
          <t>8</t>
        </is>
      </c>
      <c r="D14" s="172" t="n"/>
      <c r="E14" s="172" t="n"/>
      <c r="F14" s="172" t="n"/>
      <c r="G14" s="172" t="n"/>
      <c r="H14" s="173" t="n"/>
      <c r="K14" s="201" t="n"/>
    </row>
    <row r="15" ht="80.09999999999999" customHeight="1" s="510">
      <c r="A15" s="220" t="inlineStr">
        <is>
          <t>Wettbewerbs- kriterium 2</t>
        </is>
      </c>
      <c r="B15" s="132">
        <f>'Bewertungsschema Referenzen'!B11</f>
        <v/>
      </c>
      <c r="C15" s="595" t="inlineStr">
        <is>
          <t>ja</t>
        </is>
      </c>
      <c r="D15" s="591" t="n"/>
      <c r="E15" s="595" t="inlineStr">
        <is>
          <t>Secondary school campus</t>
        </is>
      </c>
      <c r="F15" s="590" t="n"/>
      <c r="G15" s="590" t="n"/>
      <c r="H15" s="591" t="n"/>
      <c r="J15" s="200" t="n"/>
      <c r="K15" s="200" t="n"/>
      <c r="L15" s="200" t="n"/>
      <c r="M15" s="200" t="n"/>
      <c r="N15" s="200" t="n"/>
      <c r="O15" s="200" t="n"/>
      <c r="P15" s="200" t="n"/>
      <c r="Q15" s="200" t="n"/>
    </row>
    <row r="16" ht="80.09999999999999" customHeight="1" s="510">
      <c r="A16" s="220" t="inlineStr">
        <is>
          <t>Wettbewerbs- kriterium 3</t>
        </is>
      </c>
      <c r="B16" s="132">
        <f>'Bewertungsschema Referenzen'!B12</f>
        <v/>
      </c>
      <c r="C16" s="595" t="inlineStr">
        <is>
          <t>ja</t>
        </is>
      </c>
      <c r="D16" s="591" t="n"/>
      <c r="E16" s="595" t="inlineStr">
        <is>
          <t>Construction was executed in phases during ongoing school operations.</t>
        </is>
      </c>
      <c r="F16" s="590" t="n"/>
      <c r="G16" s="590" t="n"/>
      <c r="H16" s="591" t="n"/>
      <c r="J16" s="200" t="n"/>
      <c r="K16" s="200" t="n"/>
      <c r="L16" s="200" t="n"/>
      <c r="M16" s="200" t="n"/>
      <c r="N16" s="200" t="n"/>
      <c r="O16" s="200" t="n"/>
      <c r="P16" s="200" t="n"/>
      <c r="Q16" s="200" t="n"/>
    </row>
    <row r="17" ht="80.09999999999999" customHeight="1" s="510">
      <c r="A17" s="220" t="inlineStr">
        <is>
          <t>Wettbewerbs- kriterium 4</t>
        </is>
      </c>
      <c r="B17" s="132">
        <f>'Bewertungsschema Referenzen'!B13</f>
        <v/>
      </c>
      <c r="C17" s="595" t="inlineStr">
        <is>
          <t>ja</t>
        </is>
      </c>
      <c r="D17" s="591" t="n"/>
      <c r="E17" s="595" t="inlineStr">
        <is>
          <t>Erweiterung Schulcampus Nord (partial new construction)</t>
        </is>
      </c>
      <c r="F17" s="590" t="n"/>
      <c r="G17" s="590" t="n"/>
      <c r="H17" s="591" t="n"/>
      <c r="J17" s="200" t="n"/>
      <c r="K17" s="200" t="n"/>
      <c r="L17" s="200" t="n"/>
      <c r="M17" s="200" t="n"/>
      <c r="N17" s="200" t="n"/>
      <c r="O17" s="200" t="n"/>
      <c r="P17" s="200" t="n"/>
      <c r="Q17" s="200" t="n"/>
    </row>
    <row r="18" ht="80.09999999999999" customHeight="1" s="510">
      <c r="A18" s="220" t="inlineStr">
        <is>
          <t>Wettbewerbs- kriterium 5</t>
        </is>
      </c>
      <c r="B18" s="132">
        <f>'Bewertungsschema Referenzen'!B14</f>
        <v/>
      </c>
      <c r="C18" s="595" t="inlineStr">
        <is>
          <t>14730000</t>
        </is>
      </c>
      <c r="D18" s="590" t="n"/>
      <c r="E18" s="590" t="n"/>
      <c r="F18" s="590" t="n"/>
      <c r="G18" s="590" t="n"/>
      <c r="H18" s="591" t="n"/>
      <c r="J18" s="200" t="n"/>
      <c r="K18" s="200" t="n"/>
      <c r="L18" s="200" t="n"/>
      <c r="M18" s="200" t="n"/>
      <c r="N18" s="200" t="n"/>
      <c r="O18" s="200" t="n"/>
      <c r="P18" s="200" t="n"/>
      <c r="Q18" s="200" t="n"/>
    </row>
    <row r="19" ht="80.09999999999999" customHeight="1" s="510">
      <c r="A19" s="220" t="inlineStr">
        <is>
          <t>Wettbewerbs- kriterium 6</t>
        </is>
      </c>
      <c r="B19" s="132">
        <f>'Bewertungsschema Referenzen'!B15</f>
        <v/>
      </c>
      <c r="C19" s="595" t="inlineStr">
        <is>
          <t>ja</t>
        </is>
      </c>
      <c r="D19" s="591" t="n"/>
      <c r="E19" s="595" t="inlineStr">
        <is>
          <t>Freie und Hansestadt Hamburg, SBH | Schulbau Hamburg</t>
        </is>
      </c>
      <c r="F19" s="590" t="n"/>
      <c r="G19" s="590" t="n"/>
      <c r="H19" s="591" t="n"/>
      <c r="J19" s="200" t="n"/>
      <c r="K19" s="200" t="n"/>
      <c r="L19" s="200" t="n"/>
      <c r="M19" s="200" t="n"/>
      <c r="N19" s="200" t="n"/>
      <c r="O19" s="200" t="n"/>
      <c r="P19" s="200" t="n"/>
      <c r="Q19" s="200" t="n"/>
    </row>
    <row r="20" ht="80.09999999999999" customHeight="1" s="510">
      <c r="A20" s="220" t="inlineStr">
        <is>
          <t>Wettbewerbs- kriterium 7</t>
        </is>
      </c>
      <c r="B20" s="132">
        <f>'Bewertungsschema Referenzen'!B16</f>
        <v/>
      </c>
      <c r="C20" s="595" t="inlineStr">
        <is>
          <t>nein</t>
        </is>
      </c>
      <c r="D20" s="591" t="n"/>
      <c r="E20" s="595" t="inlineStr">
        <is>
          <t>ja -&gt; Beschreibung:</t>
        </is>
      </c>
      <c r="F20" s="590" t="n"/>
      <c r="G20" s="590" t="n"/>
      <c r="H20" s="591" t="n"/>
      <c r="J20" s="200" t="n"/>
      <c r="K20" s="200" t="n"/>
      <c r="L20" s="200" t="n"/>
      <c r="M20" s="200" t="n"/>
      <c r="N20" s="200" t="n"/>
      <c r="O20" s="200" t="n"/>
      <c r="P20" s="200" t="n"/>
      <c r="Q20" s="200" t="n"/>
    </row>
  </sheetData>
  <sheetProtection selectLockedCells="0" selectUnlockedCells="0" algorithmName="SHA-512" sheet="1" objects="1" insertRows="1" insertHyperlinks="1" autoFilter="1" scenarios="1" formatColumns="1" deleteColumns="1" insertColumns="1" pivotTables="1" deleteRows="1" formatCells="1" saltValue="qbny+VBgHbxRrT8Yp/NrQg==" formatRows="1" sort="1" spinCount="100000" hashValue="sfvZOXPkZZrLGEb06dWQJkDJhbreugBXWUCfmcNR0YOOe6q6l/DSrZgvxYY0qAa/IfVHtsgOtcSqh2wIrvc+ZA=="/>
  <mergeCells count="23">
    <mergeCell ref="C15:D15"/>
    <mergeCell ref="A4:G4"/>
    <mergeCell ref="E16:H16"/>
    <mergeCell ref="C12:H12"/>
    <mergeCell ref="C20:D20"/>
    <mergeCell ref="C11:H11"/>
    <mergeCell ref="C16:D16"/>
    <mergeCell ref="A7:B7"/>
    <mergeCell ref="A2:G3"/>
    <mergeCell ref="C7:H7"/>
    <mergeCell ref="B9:B10"/>
    <mergeCell ref="E17:H17"/>
    <mergeCell ref="C13:H13"/>
    <mergeCell ref="E20:H20"/>
    <mergeCell ref="C9:H10"/>
    <mergeCell ref="C18:H18"/>
    <mergeCell ref="E19:H19"/>
    <mergeCell ref="C17:D17"/>
    <mergeCell ref="C6:H6"/>
    <mergeCell ref="C14:H14"/>
    <mergeCell ref="A9:A10"/>
    <mergeCell ref="C19:D19"/>
    <mergeCell ref="E15:H15"/>
  </mergeCells>
  <pageMargins left="0.7086614173228347" right="0.7086614173228347" top="0.7874015748031497" bottom="0.7874015748031497" header="0.3149606299212598" footer="0.3149606299212598"/>
  <pageSetup orientation="portrait" paperSize="9" scale="60"/>
</worksheet>
</file>

<file path=xl/worksheets/sheet7.xml><?xml version="1.0" encoding="utf-8"?>
<worksheet xmlns="http://schemas.openxmlformats.org/spreadsheetml/2006/main">
  <sheetPr>
    <tabColor rgb="FF0070C0"/>
    <outlinePr summaryBelow="1" summaryRight="1"/>
    <pageSetUpPr/>
  </sheetPr>
  <dimension ref="A2:S20"/>
  <sheetViews>
    <sheetView view="pageBreakPreview" topLeftCell="A12" zoomScale="89" zoomScaleNormal="100" zoomScaleSheetLayoutView="89" workbookViewId="0">
      <selection activeCell="E19" sqref="E19:H20"/>
    </sheetView>
  </sheetViews>
  <sheetFormatPr baseColWidth="10" defaultColWidth="11.42578125" defaultRowHeight="12.75"/>
  <cols>
    <col width="15.7109375" customWidth="1" style="158" min="1" max="1"/>
    <col width="38.28515625" customWidth="1" style="158" min="2" max="2"/>
    <col width="11.42578125" customWidth="1" style="158" min="3" max="3"/>
    <col width="13.85546875" customWidth="1" style="158" min="4" max="4"/>
    <col width="11.42578125" customWidth="1" style="158" min="5" max="7"/>
    <col width="30.5703125" customWidth="1" style="158" min="8" max="8"/>
    <col width="20.5703125" customWidth="1" style="158" min="9" max="9"/>
    <col width="11.42578125" customWidth="1" style="158" min="10" max="10"/>
    <col width="11.42578125" customWidth="1" style="158" min="11" max="16384"/>
  </cols>
  <sheetData>
    <row r="2" ht="15.75" customHeight="1" s="510">
      <c r="A2" s="350">
        <f>Bewerbungsformblatt!A1</f>
        <v/>
      </c>
      <c r="H2" s="197" t="n"/>
      <c r="I2" s="197" t="n"/>
      <c r="J2" s="197" t="n"/>
    </row>
    <row r="3" ht="4.5" customHeight="1" s="510">
      <c r="H3" s="197" t="n"/>
      <c r="I3" s="197" t="n"/>
      <c r="J3" s="197" t="n"/>
    </row>
    <row r="4" ht="18.75" customHeight="1" s="510">
      <c r="A4" s="435">
        <f>Bewerbungsformblatt!A2</f>
        <v/>
      </c>
      <c r="H4" s="197" t="n"/>
      <c r="I4" s="197" t="n"/>
      <c r="J4" s="197" t="n"/>
    </row>
    <row r="5">
      <c r="B5" s="198" t="n"/>
      <c r="C5" s="161" t="n"/>
      <c r="D5" s="161" t="n"/>
      <c r="E5" s="161" t="n"/>
      <c r="F5" s="161" t="n"/>
      <c r="G5" s="198" t="n"/>
      <c r="H5" s="197" t="n"/>
      <c r="I5" s="197" t="n"/>
      <c r="J5" s="197" t="n"/>
    </row>
    <row r="6" ht="21" customHeight="1" s="510">
      <c r="A6" s="217" t="inlineStr">
        <is>
          <t>Büro:</t>
        </is>
      </c>
      <c r="B6" s="215" t="n"/>
      <c r="C6" s="436" t="inlineStr">
        <is>
          <t>Hansa Planungsgruppe GmbH</t>
        </is>
      </c>
      <c r="D6" s="590" t="n"/>
      <c r="E6" s="590" t="n"/>
      <c r="F6" s="590" t="n"/>
      <c r="G6" s="590" t="n"/>
      <c r="H6" s="591" t="n"/>
    </row>
    <row r="7" ht="22.5" customHeight="1" s="510">
      <c r="A7" s="438" t="inlineStr">
        <is>
          <t>Referenz-Nummer:</t>
        </is>
      </c>
      <c r="B7" s="511" t="n"/>
      <c r="C7" s="439" t="n">
        <v>2</v>
      </c>
      <c r="D7" s="590" t="n"/>
      <c r="E7" s="590" t="n"/>
      <c r="F7" s="590" t="n"/>
      <c r="G7" s="590" t="n"/>
      <c r="H7" s="591" t="n"/>
    </row>
    <row r="8">
      <c r="B8" s="199" t="n"/>
      <c r="C8" s="199" t="n"/>
      <c r="D8" s="199" t="n"/>
      <c r="E8" s="199" t="n"/>
      <c r="F8" s="199" t="n"/>
      <c r="G8" s="199" t="n"/>
      <c r="H8" s="199" t="n"/>
    </row>
    <row r="9" ht="12.75" customHeight="1" s="510">
      <c r="A9" s="425" t="inlineStr">
        <is>
          <t xml:space="preserve">Mindestkriterium / Wertungs- kriterium Nummer </t>
        </is>
      </c>
      <c r="B9" s="592" t="inlineStr">
        <is>
          <t>Referenzprojekt:</t>
        </is>
      </c>
      <c r="C9" s="593" t="inlineStr">
        <is>
          <t>jede Zeile ist auszufüllen - bei fehlenden Angaben oder nicht eindeutigen Angaben 
-&gt; keine Wertung der Referenz
Die Mindestkriterien sind zwingend zu erfüllen -&gt; ansonsten keine Wertung der Referenz</t>
        </is>
      </c>
      <c r="D9" s="9" t="n"/>
      <c r="E9" s="9" t="n"/>
      <c r="F9" s="9" t="n"/>
      <c r="G9" s="9" t="n"/>
      <c r="H9" s="10" t="n"/>
    </row>
    <row r="10" ht="51.75" customHeight="1" s="510">
      <c r="A10" s="20" t="n"/>
      <c r="B10" s="20" t="n"/>
      <c r="C10" s="13" t="n"/>
      <c r="D10" s="14" t="n"/>
      <c r="E10" s="14" t="n"/>
      <c r="F10" s="14" t="n"/>
      <c r="G10" s="14" t="n"/>
      <c r="H10" s="15" t="n"/>
    </row>
    <row r="11" ht="99.95" customHeight="1" s="510">
      <c r="A11" s="219" t="inlineStr">
        <is>
          <t xml:space="preserve"> -</t>
        </is>
      </c>
      <c r="B11" s="218" t="inlineStr">
        <is>
          <t>Bezeichnung des Projekts 
(Benennung des BH einschl. Kontaktdaten)</t>
        </is>
      </c>
      <c r="C11" s="436" t="inlineStr">
        <is>
          <t>Studentenwohnheim Altona - Modernisierung und Dachaufstockung, Bauherr: Studierendenwerk Hamburg AöR, Grindelallee 9, 20146 Hamburg</t>
        </is>
      </c>
      <c r="D11" s="590" t="n"/>
      <c r="E11" s="590" t="n"/>
      <c r="F11" s="590" t="n"/>
      <c r="G11" s="590" t="n"/>
      <c r="H11" s="591" t="n"/>
      <c r="L11" s="200" t="n"/>
      <c r="M11" s="200" t="n"/>
      <c r="N11" s="200" t="n"/>
      <c r="O11" s="200" t="n"/>
      <c r="P11" s="200" t="n"/>
      <c r="Q11" s="200" t="n"/>
      <c r="R11" s="200" t="n"/>
      <c r="S11" s="200" t="n"/>
    </row>
    <row r="12" ht="80.09999999999999" customHeight="1" s="510">
      <c r="A12" s="133" t="inlineStr">
        <is>
          <t>Mindest- kriterium 1</t>
        </is>
      </c>
      <c r="B12" s="131">
        <f>'Bewertungsschema Referenzen'!B8</f>
        <v/>
      </c>
      <c r="C12" s="594" t="inlineStr">
        <is>
          <t>Juli 2021</t>
        </is>
      </c>
      <c r="D12" s="590" t="n"/>
      <c r="E12" s="590" t="n"/>
      <c r="F12" s="590" t="n"/>
      <c r="G12" s="590" t="n"/>
      <c r="H12" s="591" t="n"/>
      <c r="L12" s="200" t="n"/>
      <c r="M12" s="200" t="n"/>
      <c r="N12" s="200" t="n"/>
      <c r="O12" s="200" t="n"/>
      <c r="P12" s="200" t="n"/>
      <c r="Q12" s="200" t="n"/>
      <c r="R12" s="200" t="n"/>
      <c r="S12" s="200" t="n"/>
    </row>
    <row r="13" ht="80.09999999999999" customHeight="1" s="510">
      <c r="A13" s="133" t="inlineStr">
        <is>
          <t>Mindest- kriterium 2</t>
        </is>
      </c>
      <c r="B13" s="134">
        <f>'Bewertungsschema Referenzen'!B9</f>
        <v/>
      </c>
      <c r="C13" s="595" t="inlineStr">
        <is>
          <t>Honorarzone III</t>
        </is>
      </c>
      <c r="D13" s="590" t="n"/>
      <c r="E13" s="590" t="n"/>
      <c r="F13" s="590" t="n"/>
      <c r="G13" s="590" t="n"/>
      <c r="H13" s="591" t="n"/>
      <c r="L13" s="200" t="n"/>
      <c r="M13" s="200" t="n"/>
      <c r="N13" s="200" t="n"/>
      <c r="O13" s="200" t="n"/>
      <c r="P13" s="200" t="n"/>
      <c r="Q13" s="200" t="n"/>
      <c r="R13" s="200" t="n"/>
      <c r="S13" s="200" t="n"/>
    </row>
    <row r="14" ht="80.09999999999999" customHeight="1" s="510">
      <c r="A14" s="220" t="inlineStr">
        <is>
          <t>Wettbewerbs- kriterium 1</t>
        </is>
      </c>
      <c r="B14" s="138">
        <f>'Bewertungsschema Referenzen'!B10</f>
        <v/>
      </c>
      <c r="C14" s="596" t="inlineStr">
        <is>
          <t>8</t>
        </is>
      </c>
      <c r="D14" s="172" t="n"/>
      <c r="E14" s="172" t="n"/>
      <c r="F14" s="172" t="n"/>
      <c r="G14" s="172" t="n"/>
      <c r="H14" s="173" t="n"/>
      <c r="K14" s="201" t="n"/>
    </row>
    <row r="15" ht="80.09999999999999" customHeight="1" s="510">
      <c r="A15" s="220" t="inlineStr">
        <is>
          <t>Wettbewerbs- kriterium 2</t>
        </is>
      </c>
      <c r="B15" s="132">
        <f>'Bewertungsschema Referenzen'!B11</f>
        <v/>
      </c>
      <c r="C15" s="595" t="inlineStr">
        <is>
          <t>nein</t>
        </is>
      </c>
      <c r="D15" s="591" t="n"/>
      <c r="E15" s="595" t="inlineStr">
        <is>
          <t>ja -&gt; Beschreibung:</t>
        </is>
      </c>
      <c r="F15" s="590" t="n"/>
      <c r="G15" s="590" t="n"/>
      <c r="H15" s="591" t="n"/>
      <c r="J15" s="200" t="n"/>
      <c r="K15" s="200" t="n"/>
      <c r="L15" s="200" t="n"/>
      <c r="M15" s="200" t="n"/>
      <c r="N15" s="200" t="n"/>
      <c r="O15" s="200" t="n"/>
      <c r="P15" s="200" t="n"/>
      <c r="Q15" s="200" t="n"/>
    </row>
    <row r="16" ht="80.09999999999999" customHeight="1" s="510">
      <c r="A16" s="220" t="inlineStr">
        <is>
          <t>Wettbewerbs- kriterium 3</t>
        </is>
      </c>
      <c r="B16" s="132">
        <f>'Bewertungsschema Referenzen'!B12</f>
        <v/>
      </c>
      <c r="C16" s="595" t="inlineStr">
        <is>
          <t>ja</t>
        </is>
      </c>
      <c r="D16" s="591" t="n"/>
      <c r="E16" s="595" t="inlineStr">
        <is>
          <t>Teilweise, nach Bauabschnitten</t>
        </is>
      </c>
      <c r="F16" s="590" t="n"/>
      <c r="G16" s="590" t="n"/>
      <c r="H16" s="591" t="n"/>
      <c r="J16" s="200" t="n"/>
      <c r="K16" s="200" t="n"/>
      <c r="L16" s="200" t="n"/>
      <c r="M16" s="200" t="n"/>
      <c r="N16" s="200" t="n"/>
      <c r="O16" s="200" t="n"/>
      <c r="P16" s="200" t="n"/>
      <c r="Q16" s="200" t="n"/>
    </row>
    <row r="17" ht="80.09999999999999" customHeight="1" s="510">
      <c r="A17" s="220" t="inlineStr">
        <is>
          <t>Wettbewerbs- kriterium 4</t>
        </is>
      </c>
      <c r="B17" s="132">
        <f>'Bewertungsschema Referenzen'!B13</f>
        <v/>
      </c>
      <c r="C17" s="595" t="inlineStr">
        <is>
          <t>ja</t>
        </is>
      </c>
      <c r="D17" s="591" t="n"/>
      <c r="E17" s="595" t="inlineStr">
        <is>
          <t>Dachaufstockung</t>
        </is>
      </c>
      <c r="F17" s="590" t="n"/>
      <c r="G17" s="590" t="n"/>
      <c r="H17" s="591" t="n"/>
      <c r="J17" s="200" t="n"/>
      <c r="K17" s="200" t="n"/>
      <c r="L17" s="200" t="n"/>
      <c r="M17" s="200" t="n"/>
      <c r="N17" s="200" t="n"/>
      <c r="O17" s="200" t="n"/>
      <c r="P17" s="200" t="n"/>
      <c r="Q17" s="200" t="n"/>
    </row>
    <row r="18" ht="80.09999999999999" customHeight="1" s="510">
      <c r="A18" s="220" t="inlineStr">
        <is>
          <t>Wettbewerbs- kriterium 5</t>
        </is>
      </c>
      <c r="B18" s="132">
        <f>'Bewertungsschema Referenzen'!B14</f>
        <v/>
      </c>
      <c r="C18" s="595" t="inlineStr">
        <is>
          <t>8.410.000</t>
        </is>
      </c>
      <c r="D18" s="590" t="n"/>
      <c r="E18" s="590" t="n"/>
      <c r="F18" s="590" t="n"/>
      <c r="G18" s="590" t="n"/>
      <c r="H18" s="591" t="n"/>
      <c r="J18" s="200" t="n"/>
      <c r="K18" s="200" t="n"/>
      <c r="L18" s="200" t="n"/>
      <c r="M18" s="200" t="n"/>
      <c r="N18" s="200" t="n"/>
      <c r="O18" s="200" t="n"/>
      <c r="P18" s="200" t="n"/>
      <c r="Q18" s="200" t="n"/>
    </row>
    <row r="19" ht="80.09999999999999" customHeight="1" s="510">
      <c r="A19" s="220" t="inlineStr">
        <is>
          <t>Wettbewerbs- kriterium 6</t>
        </is>
      </c>
      <c r="B19" s="132">
        <f>'Bewertungsschema Referenzen'!B15</f>
        <v/>
      </c>
      <c r="C19" s="595" t="inlineStr">
        <is>
          <t>ja</t>
        </is>
      </c>
      <c r="D19" s="591" t="n"/>
      <c r="E19" s="595" t="inlineStr">
        <is>
          <t>Studierendenwerk Hamburg AöR</t>
        </is>
      </c>
      <c r="F19" s="590" t="n"/>
      <c r="G19" s="590" t="n"/>
      <c r="H19" s="591" t="n"/>
      <c r="J19" s="200" t="n"/>
      <c r="K19" s="200" t="n"/>
      <c r="L19" s="200" t="n"/>
      <c r="M19" s="200" t="n"/>
      <c r="N19" s="200" t="n"/>
      <c r="O19" s="200" t="n"/>
      <c r="P19" s="200" t="n"/>
      <c r="Q19" s="200" t="n"/>
    </row>
    <row r="20" ht="80.09999999999999" customHeight="1" s="510">
      <c r="A20" s="220" t="inlineStr">
        <is>
          <t>Wettbewerbs- kriterium 7</t>
        </is>
      </c>
      <c r="B20" s="132">
        <f>'Bewertungsschema Referenzen'!B16</f>
        <v/>
      </c>
      <c r="C20" s="595" t="inlineStr">
        <is>
          <t>ja/nein</t>
        </is>
      </c>
      <c r="D20" s="591" t="n"/>
      <c r="E20" s="595" t="inlineStr">
        <is>
          <t>ja -&gt; Beschreibung:</t>
        </is>
      </c>
      <c r="F20" s="590" t="n"/>
      <c r="G20" s="590" t="n"/>
      <c r="H20" s="591" t="n"/>
      <c r="J20" s="200" t="n"/>
      <c r="K20" s="200" t="n"/>
      <c r="L20" s="200" t="n"/>
      <c r="M20" s="200" t="n"/>
      <c r="N20" s="200" t="n"/>
      <c r="O20" s="200" t="n"/>
      <c r="P20" s="200" t="n"/>
      <c r="Q20" s="200" t="n"/>
    </row>
  </sheetData>
  <sheetProtection selectLockedCells="0" selectUnlockedCells="0" algorithmName="SHA-512" sheet="1" objects="1" insertRows="1" insertHyperlinks="1" autoFilter="1" scenarios="1" formatColumns="1" deleteColumns="1" insertColumns="1" pivotTables="1" deleteRows="1" formatCells="1" saltValue="TDpy6JOCj0qeerDyheuNKQ==" formatRows="1" sort="1" spinCount="100000" hashValue="D+sujh3k/WZkUjKY8lUYCRLl8/JFnFOrvO5wY6gQBxDbzlhtE0FR2F93T5eG1l4oJ+UrKYrqqeQ8itBmXN7Tow=="/>
  <mergeCells count="23">
    <mergeCell ref="C15:D15"/>
    <mergeCell ref="A4:G4"/>
    <mergeCell ref="E16:H16"/>
    <mergeCell ref="C12:H12"/>
    <mergeCell ref="C20:D20"/>
    <mergeCell ref="C11:H11"/>
    <mergeCell ref="C16:D16"/>
    <mergeCell ref="A7:B7"/>
    <mergeCell ref="A2:G3"/>
    <mergeCell ref="C7:H7"/>
    <mergeCell ref="B9:B10"/>
    <mergeCell ref="E17:H17"/>
    <mergeCell ref="C13:H13"/>
    <mergeCell ref="E20:H20"/>
    <mergeCell ref="C9:H10"/>
    <mergeCell ref="C18:H18"/>
    <mergeCell ref="E19:H19"/>
    <mergeCell ref="C17:D17"/>
    <mergeCell ref="C6:H6"/>
    <mergeCell ref="C14:H14"/>
    <mergeCell ref="A9:A10"/>
    <mergeCell ref="C19:D19"/>
    <mergeCell ref="E15:H15"/>
  </mergeCells>
  <pageMargins left="0.7086614173228347" right="0.7086614173228347" top="0.7874015748031497" bottom="0.7874015748031497" header="0.3149606299212598" footer="0.3149606299212598"/>
  <pageSetup orientation="portrait" paperSize="9" scale="60"/>
</worksheet>
</file>

<file path=xl/worksheets/sheet8.xml><?xml version="1.0" encoding="utf-8"?>
<worksheet xmlns="http://schemas.openxmlformats.org/spreadsheetml/2006/main">
  <sheetPr>
    <tabColor rgb="FF0070C0"/>
    <outlinePr summaryBelow="1" summaryRight="1"/>
    <pageSetUpPr/>
  </sheetPr>
  <dimension ref="A2:S20"/>
  <sheetViews>
    <sheetView view="pageBreakPreview" topLeftCell="A13" zoomScale="89" zoomScaleNormal="100" zoomScaleSheetLayoutView="89" workbookViewId="0">
      <selection activeCell="M16" sqref="M16"/>
    </sheetView>
  </sheetViews>
  <sheetFormatPr baseColWidth="10" defaultColWidth="11.42578125" defaultRowHeight="12.75"/>
  <cols>
    <col width="15.7109375" customWidth="1" style="158" min="1" max="1"/>
    <col width="38.28515625" customWidth="1" style="158" min="2" max="2"/>
    <col width="11.42578125" customWidth="1" style="158" min="3" max="3"/>
    <col width="13.85546875" customWidth="1" style="158" min="4" max="4"/>
    <col width="11.42578125" customWidth="1" style="158" min="5" max="7"/>
    <col width="30.5703125" customWidth="1" style="158" min="8" max="8"/>
    <col width="20.5703125" customWidth="1" style="158" min="9" max="9"/>
    <col width="11.42578125" customWidth="1" style="158" min="10" max="10"/>
    <col width="11.42578125" customWidth="1" style="158" min="11" max="16384"/>
  </cols>
  <sheetData>
    <row r="2" ht="15.75" customHeight="1" s="510">
      <c r="A2" s="350">
        <f>Bewerbungsformblatt!A1</f>
        <v/>
      </c>
      <c r="H2" s="197" t="n"/>
      <c r="I2" s="197" t="n"/>
      <c r="J2" s="197" t="n"/>
    </row>
    <row r="3" ht="4.5" customHeight="1" s="510">
      <c r="H3" s="197" t="n"/>
      <c r="I3" s="197" t="n"/>
      <c r="J3" s="197" t="n"/>
    </row>
    <row r="4" ht="18.75" customHeight="1" s="510">
      <c r="A4" s="435">
        <f>Bewerbungsformblatt!A2</f>
        <v/>
      </c>
      <c r="H4" s="197" t="n"/>
      <c r="I4" s="197" t="n"/>
      <c r="J4" s="197" t="n"/>
    </row>
    <row r="5">
      <c r="B5" s="198" t="n"/>
      <c r="C5" s="161" t="n"/>
      <c r="D5" s="161" t="n"/>
      <c r="E5" s="161" t="n"/>
      <c r="F5" s="161" t="n"/>
      <c r="G5" s="198" t="n"/>
      <c r="H5" s="197" t="n"/>
      <c r="I5" s="197" t="n"/>
      <c r="J5" s="197" t="n"/>
    </row>
    <row r="6" ht="21" customHeight="1" s="510">
      <c r="A6" s="217" t="inlineStr">
        <is>
          <t>Büro:</t>
        </is>
      </c>
      <c r="B6" s="215" t="n"/>
      <c r="C6" s="436" t="inlineStr">
        <is>
          <t>Hansa Planungsgruppe GmbH</t>
        </is>
      </c>
      <c r="D6" s="590" t="n"/>
      <c r="E6" s="590" t="n"/>
      <c r="F6" s="590" t="n"/>
      <c r="G6" s="590" t="n"/>
      <c r="H6" s="591" t="n"/>
    </row>
    <row r="7" ht="22.5" customHeight="1" s="510">
      <c r="A7" s="438" t="inlineStr">
        <is>
          <t>Referenz-Nummer:</t>
        </is>
      </c>
      <c r="B7" s="511" t="n"/>
      <c r="C7" s="439" t="inlineStr">
        <is>
          <t>2</t>
        </is>
      </c>
      <c r="D7" s="590" t="n"/>
      <c r="E7" s="590" t="n"/>
      <c r="F7" s="590" t="n"/>
      <c r="G7" s="590" t="n"/>
      <c r="H7" s="591" t="n"/>
    </row>
    <row r="8">
      <c r="B8" s="199" t="n"/>
      <c r="C8" s="199" t="n"/>
      <c r="D8" s="199" t="n"/>
      <c r="E8" s="199" t="n"/>
      <c r="F8" s="199" t="n"/>
      <c r="G8" s="199" t="n"/>
      <c r="H8" s="199" t="n"/>
    </row>
    <row r="9" ht="12.75" customHeight="1" s="510">
      <c r="A9" s="425" t="inlineStr">
        <is>
          <t xml:space="preserve">Mindestkriterium / Wertungs- kriterium Nummer </t>
        </is>
      </c>
      <c r="B9" s="592" t="inlineStr">
        <is>
          <t>Referenzprojekt:</t>
        </is>
      </c>
      <c r="C9" s="593" t="inlineStr">
        <is>
          <t>jede Zeile ist auszufüllen - bei fehlenden Angaben oder nicht eindeutigen Angaben 
-&gt; keine Wertung der Referenz
Die Mindestkriterien sind zwingend zu erfüllen -&gt; ansonsten keine Wertung der Referenz</t>
        </is>
      </c>
      <c r="D9" s="9" t="n"/>
      <c r="E9" s="9" t="n"/>
      <c r="F9" s="9" t="n"/>
      <c r="G9" s="9" t="n"/>
      <c r="H9" s="10" t="n"/>
    </row>
    <row r="10" ht="51.75" customHeight="1" s="510">
      <c r="A10" s="20" t="n"/>
      <c r="B10" s="20" t="n"/>
      <c r="C10" s="13" t="n"/>
      <c r="D10" s="14" t="n"/>
      <c r="E10" s="14" t="n"/>
      <c r="F10" s="14" t="n"/>
      <c r="G10" s="14" t="n"/>
      <c r="H10" s="15" t="n"/>
    </row>
    <row r="11" ht="99.95" customHeight="1" s="510">
      <c r="A11" s="219" t="inlineStr">
        <is>
          <t xml:space="preserve"> -</t>
        </is>
      </c>
      <c r="B11" s="218" t="inlineStr">
        <is>
          <t>Bezeichnung des Projekts 
(Benennung des BH einschl. Kontaktdaten)</t>
        </is>
      </c>
      <c r="C11" s="436" t="inlineStr">
        <is>
          <t>Modernisierung Wohnanlage Elbterrassen, Elbwohnungsbau Hamburg GmbH, Überseering 12, 22297 Hamburg</t>
        </is>
      </c>
      <c r="D11" s="590" t="n"/>
      <c r="E11" s="590" t="n"/>
      <c r="F11" s="590" t="n"/>
      <c r="G11" s="590" t="n"/>
      <c r="H11" s="591" t="n"/>
      <c r="L11" s="200" t="n"/>
      <c r="M11" s="200" t="n"/>
      <c r="N11" s="200" t="n"/>
      <c r="O11" s="200" t="n"/>
      <c r="P11" s="200" t="n"/>
      <c r="Q11" s="200" t="n"/>
      <c r="R11" s="200" t="n"/>
      <c r="S11" s="200" t="n"/>
    </row>
    <row r="12" ht="80.09999999999999" customHeight="1" s="510">
      <c r="A12" s="133" t="inlineStr">
        <is>
          <t>Mindest- kriterium 1</t>
        </is>
      </c>
      <c r="B12" s="131">
        <f>'Bewertungsschema Referenzen'!B8</f>
        <v/>
      </c>
      <c r="C12" s="594" t="inlineStr">
        <is>
          <t>November 2022</t>
        </is>
      </c>
      <c r="D12" s="590" t="n"/>
      <c r="E12" s="590" t="n"/>
      <c r="F12" s="590" t="n"/>
      <c r="G12" s="590" t="n"/>
      <c r="H12" s="591" t="n"/>
      <c r="L12" s="200" t="n"/>
      <c r="M12" s="200" t="n"/>
      <c r="N12" s="200" t="n"/>
      <c r="O12" s="200" t="n"/>
      <c r="P12" s="200" t="n"/>
      <c r="Q12" s="200" t="n"/>
      <c r="R12" s="200" t="n"/>
      <c r="S12" s="200" t="n"/>
    </row>
    <row r="13" ht="80.09999999999999" customHeight="1" s="510">
      <c r="A13" s="133" t="inlineStr">
        <is>
          <t>Mindest- kriterium 2</t>
        </is>
      </c>
      <c r="B13" s="134">
        <f>'Bewertungsschema Referenzen'!B9</f>
        <v/>
      </c>
      <c r="C13" s="595" t="inlineStr">
        <is>
          <t>Ja, Honorarzone III</t>
        </is>
      </c>
      <c r="D13" s="590" t="n"/>
      <c r="E13" s="590" t="n"/>
      <c r="F13" s="590" t="n"/>
      <c r="G13" s="590" t="n"/>
      <c r="H13" s="591" t="n"/>
      <c r="L13" s="200" t="n"/>
      <c r="M13" s="200" t="n"/>
      <c r="N13" s="200" t="n"/>
      <c r="O13" s="200" t="n"/>
      <c r="P13" s="200" t="n"/>
      <c r="Q13" s="200" t="n"/>
      <c r="R13" s="200" t="n"/>
      <c r="S13" s="200" t="n"/>
    </row>
    <row r="14" ht="80.09999999999999" customHeight="1" s="510">
      <c r="A14" s="220" t="inlineStr">
        <is>
          <t>Wettbewerbs- kriterium 1</t>
        </is>
      </c>
      <c r="B14" s="138">
        <f>'Bewertungsschema Referenzen'!B10</f>
        <v/>
      </c>
      <c r="C14" s="596" t="inlineStr">
        <is>
          <t>8</t>
        </is>
      </c>
      <c r="D14" s="172" t="n"/>
      <c r="E14" s="172" t="n"/>
      <c r="F14" s="172" t="n"/>
      <c r="G14" s="172" t="n"/>
      <c r="H14" s="173" t="n"/>
      <c r="K14" s="201" t="n"/>
    </row>
    <row r="15" ht="80.09999999999999" customHeight="1" s="510">
      <c r="A15" s="220" t="inlineStr">
        <is>
          <t>Wettbewerbs- kriterium 2</t>
        </is>
      </c>
      <c r="B15" s="132">
        <f>'Bewertungsschema Referenzen'!B11</f>
        <v/>
      </c>
      <c r="C15" s="595" t="inlineStr">
        <is>
          <t>nein</t>
        </is>
      </c>
      <c r="D15" s="591" t="n"/>
      <c r="E15" s="595" t="inlineStr">
        <is>
          <t>ja -&gt; Beschreibung:</t>
        </is>
      </c>
      <c r="F15" s="590" t="n"/>
      <c r="G15" s="590" t="n"/>
      <c r="H15" s="591" t="n"/>
      <c r="J15" s="200" t="n"/>
      <c r="K15" s="200" t="n"/>
      <c r="L15" s="200" t="n"/>
      <c r="M15" s="200" t="n"/>
      <c r="N15" s="200" t="n"/>
      <c r="O15" s="200" t="n"/>
      <c r="P15" s="200" t="n"/>
      <c r="Q15" s="200" t="n"/>
    </row>
    <row r="16" ht="80.09999999999999" customHeight="1" s="510">
      <c r="A16" s="220" t="inlineStr">
        <is>
          <t>Wettbewerbs- kriterium 3</t>
        </is>
      </c>
      <c r="B16" s="132">
        <f>'Bewertungsschema Referenzen'!B12</f>
        <v/>
      </c>
      <c r="C16" s="595" t="inlineStr">
        <is>
          <t>ja</t>
        </is>
      </c>
      <c r="D16" s="591" t="n"/>
      <c r="E16" s="595" t="inlineStr">
        <is>
          <t>Phased works in occupied building with temporary supply arrangements</t>
        </is>
      </c>
      <c r="F16" s="590" t="n"/>
      <c r="G16" s="590" t="n"/>
      <c r="H16" s="591" t="n"/>
      <c r="J16" s="200" t="n"/>
      <c r="K16" s="200" t="n"/>
      <c r="L16" s="200" t="n"/>
      <c r="M16" s="200" t="n"/>
      <c r="N16" s="200" t="n"/>
      <c r="O16" s="200" t="n"/>
      <c r="P16" s="200" t="n"/>
      <c r="Q16" s="200" t="n"/>
    </row>
    <row r="17" ht="80.09999999999999" customHeight="1" s="510">
      <c r="A17" s="220" t="inlineStr">
        <is>
          <t>Wettbewerbs- kriterium 4</t>
        </is>
      </c>
      <c r="B17" s="132">
        <f>'Bewertungsschema Referenzen'!B13</f>
        <v/>
      </c>
      <c r="C17" s="595" t="inlineStr">
        <is>
          <t>nein</t>
        </is>
      </c>
      <c r="D17" s="591" t="n"/>
      <c r="E17" s="595" t="inlineStr">
        <is>
          <t>ja -&gt; Beschreibung:</t>
        </is>
      </c>
      <c r="F17" s="590" t="n"/>
      <c r="G17" s="590" t="n"/>
      <c r="H17" s="591" t="n"/>
      <c r="J17" s="200" t="n"/>
      <c r="K17" s="200" t="n"/>
      <c r="L17" s="200" t="n"/>
      <c r="M17" s="200" t="n"/>
      <c r="N17" s="200" t="n"/>
      <c r="O17" s="200" t="n"/>
      <c r="P17" s="200" t="n"/>
      <c r="Q17" s="200" t="n"/>
    </row>
    <row r="18" ht="80.09999999999999" customHeight="1" s="510">
      <c r="A18" s="220" t="inlineStr">
        <is>
          <t>Wettbewerbs- kriterium 5</t>
        </is>
      </c>
      <c r="B18" s="132">
        <f>'Bewertungsschema Referenzen'!B14</f>
        <v/>
      </c>
      <c r="C18" s="595" t="inlineStr">
        <is>
          <t>11.680.000</t>
        </is>
      </c>
      <c r="D18" s="590" t="n"/>
      <c r="E18" s="590" t="n"/>
      <c r="F18" s="590" t="n"/>
      <c r="G18" s="590" t="n"/>
      <c r="H18" s="591" t="n"/>
      <c r="J18" s="200" t="n"/>
      <c r="K18" s="200" t="n"/>
      <c r="L18" s="200" t="n"/>
      <c r="M18" s="200" t="n"/>
      <c r="N18" s="200" t="n"/>
      <c r="O18" s="200" t="n"/>
      <c r="P18" s="200" t="n"/>
      <c r="Q18" s="200" t="n"/>
    </row>
    <row r="19" ht="80.09999999999999" customHeight="1" s="510">
      <c r="A19" s="220" t="inlineStr">
        <is>
          <t>Wettbewerbs- kriterium 6</t>
        </is>
      </c>
      <c r="B19" s="132">
        <f>'Bewertungsschema Referenzen'!B15</f>
        <v/>
      </c>
      <c r="C19" s="595" t="inlineStr">
        <is>
          <t>nein</t>
        </is>
      </c>
      <c r="D19" s="591" t="n"/>
      <c r="E19" s="595" t="inlineStr">
        <is>
          <t>ja -&gt; Beschreibung:</t>
        </is>
      </c>
      <c r="F19" s="590" t="n"/>
      <c r="G19" s="590" t="n"/>
      <c r="H19" s="591" t="n"/>
      <c r="J19" s="200" t="n"/>
      <c r="K19" s="200" t="n"/>
      <c r="L19" s="200" t="n"/>
      <c r="M19" s="200" t="n"/>
      <c r="N19" s="200" t="n"/>
      <c r="O19" s="200" t="n"/>
      <c r="P19" s="200" t="n"/>
      <c r="Q19" s="200" t="n"/>
    </row>
    <row r="20" ht="80.09999999999999" customHeight="1" s="510">
      <c r="A20" s="220" t="inlineStr">
        <is>
          <t>Wettbewerbs- kriterium 7</t>
        </is>
      </c>
      <c r="B20" s="132">
        <f>'Bewertungsschema Referenzen'!B16</f>
        <v/>
      </c>
      <c r="C20" s="595" t="inlineStr">
        <is>
          <t>ja/nein</t>
        </is>
      </c>
      <c r="D20" s="591" t="n"/>
      <c r="E20" s="595" t="inlineStr">
        <is>
          <t>ja -&gt; Beschreibung:</t>
        </is>
      </c>
      <c r="F20" s="590" t="n"/>
      <c r="G20" s="590" t="n"/>
      <c r="H20" s="591" t="n"/>
      <c r="J20" s="200" t="n"/>
      <c r="K20" s="200" t="n"/>
      <c r="L20" s="200" t="n"/>
      <c r="M20" s="200" t="n"/>
      <c r="N20" s="200" t="n"/>
      <c r="O20" s="200" t="n"/>
      <c r="P20" s="200" t="n"/>
      <c r="Q20" s="200" t="n"/>
    </row>
  </sheetData>
  <sheetProtection selectLockedCells="0" selectUnlockedCells="0" algorithmName="SHA-512" sheet="1" objects="1" insertRows="1" insertHyperlinks="1" autoFilter="1" scenarios="1" formatColumns="1" deleteColumns="1" insertColumns="1" pivotTables="1" deleteRows="1" formatCells="1" saltValue="qNT0ZLhgWMsuWe86V2Jteg==" formatRows="1" sort="1" spinCount="100000" hashValue="sFHga8hC6i8Vb9/lmxVs6kKvhLefQx5HWLtkjLr0ljFiE/sitcl+6JUnskagq8zQpCChepQAsO8nMKMtgUC91w=="/>
  <mergeCells count="23">
    <mergeCell ref="C15:D15"/>
    <mergeCell ref="A4:G4"/>
    <mergeCell ref="E16:H16"/>
    <mergeCell ref="C12:H12"/>
    <mergeCell ref="C20:D20"/>
    <mergeCell ref="C11:H11"/>
    <mergeCell ref="C16:D16"/>
    <mergeCell ref="A7:B7"/>
    <mergeCell ref="A2:G3"/>
    <mergeCell ref="C7:H7"/>
    <mergeCell ref="B9:B10"/>
    <mergeCell ref="E17:H17"/>
    <mergeCell ref="C13:H13"/>
    <mergeCell ref="E20:H20"/>
    <mergeCell ref="C9:H10"/>
    <mergeCell ref="C18:H18"/>
    <mergeCell ref="E19:H19"/>
    <mergeCell ref="C17:D17"/>
    <mergeCell ref="C6:H6"/>
    <mergeCell ref="C14:H14"/>
    <mergeCell ref="A9:A10"/>
    <mergeCell ref="C19:D19"/>
    <mergeCell ref="E15:H15"/>
  </mergeCells>
  <pageMargins left="0.7086614173228347" right="0.7086614173228347" top="0.7874015748031497" bottom="0.7874015748031497" header="0.3149606299212598" footer="0.3149606299212598"/>
  <pageSetup orientation="portrait" paperSize="9" scale="60"/>
</worksheet>
</file>

<file path=xl/worksheets/sheet9.xml><?xml version="1.0" encoding="utf-8"?>
<worksheet xmlns="http://schemas.openxmlformats.org/spreadsheetml/2006/main">
  <sheetPr>
    <tabColor rgb="FF0070C0"/>
    <outlinePr summaryBelow="1" summaryRight="1"/>
    <pageSetUpPr/>
  </sheetPr>
  <dimension ref="A1:R19"/>
  <sheetViews>
    <sheetView view="pageBreakPreview" topLeftCell="B1" zoomScale="115" zoomScaleNormal="115" zoomScaleSheetLayoutView="115" workbookViewId="0">
      <selection activeCell="B8" sqref="B8"/>
    </sheetView>
  </sheetViews>
  <sheetFormatPr baseColWidth="10" defaultColWidth="11.42578125" defaultRowHeight="12.75"/>
  <cols>
    <col width="12.5703125" customWidth="1" style="99" min="1" max="1"/>
    <col width="40" customWidth="1" style="99" min="2" max="2"/>
    <col width="13.28515625" customWidth="1" style="99" min="3" max="3"/>
    <col width="11.85546875" customWidth="1" style="99" min="4" max="4"/>
    <col width="12.5703125" customWidth="1" style="99" min="5" max="5"/>
    <col width="11.85546875" customWidth="1" style="99" min="6" max="6"/>
    <col width="13" customWidth="1" style="99" min="7" max="7"/>
    <col width="11.85546875" customWidth="1" style="99" min="8" max="8"/>
    <col width="11.42578125" customWidth="1" style="99" min="9" max="16384"/>
  </cols>
  <sheetData>
    <row r="1">
      <c r="A1" s="141">
        <f>Bewerbungsformblatt!A1</f>
        <v/>
      </c>
    </row>
    <row r="2">
      <c r="A2" s="141">
        <f>Bewerbungsformblatt!A2</f>
        <v/>
      </c>
    </row>
    <row r="4" ht="12.75" customHeight="1" s="510">
      <c r="A4" s="597" t="inlineStr">
        <is>
          <t>Punkteschema</t>
        </is>
      </c>
      <c r="B4" s="9" t="n"/>
      <c r="C4" s="9" t="n"/>
      <c r="D4" s="9" t="n"/>
      <c r="E4" s="9" t="n"/>
      <c r="F4" s="9" t="n"/>
      <c r="G4" s="9" t="n"/>
      <c r="H4" s="10" t="n"/>
    </row>
    <row r="5" ht="12.75" customHeight="1" s="510">
      <c r="A5" s="13" t="n"/>
      <c r="B5" s="14" t="n"/>
      <c r="C5" s="14" t="n"/>
      <c r="D5" s="14" t="n"/>
      <c r="E5" s="14" t="n"/>
      <c r="F5" s="14" t="n"/>
      <c r="G5" s="14" t="n"/>
      <c r="H5" s="15" t="n"/>
    </row>
    <row r="6" ht="34.5" customHeight="1" s="510">
      <c r="A6" s="318" t="inlineStr">
        <is>
          <t xml:space="preserve">Punkte </t>
        </is>
      </c>
      <c r="B6" s="136" t="n"/>
      <c r="C6" s="101" t="n">
        <v>5</v>
      </c>
      <c r="D6" s="101" t="n">
        <v>4</v>
      </c>
      <c r="E6" s="101" t="n">
        <v>3</v>
      </c>
      <c r="F6" s="101" t="n">
        <v>2</v>
      </c>
      <c r="G6" s="101" t="n">
        <v>1</v>
      </c>
      <c r="H6" s="101" t="n">
        <v>0</v>
      </c>
    </row>
    <row r="7" ht="46.5" customHeight="1" s="510">
      <c r="A7" s="130" t="n"/>
      <c r="B7" s="137" t="n"/>
      <c r="C7" s="459" t="inlineStr">
        <is>
          <t>Bei fehlenden Angaben oder nicht eindeutigen Angaben 
-&gt; keine Wertung der Referenz!
Sind Mindestkriterien nicht erfüllt -&gt; keine Wertung der Referenz!</t>
        </is>
      </c>
      <c r="D7" s="583" t="n"/>
      <c r="E7" s="583" t="n"/>
      <c r="F7" s="583" t="n"/>
      <c r="G7" s="583" t="n"/>
      <c r="H7" s="584" t="n"/>
    </row>
    <row r="8" ht="66.95" customHeight="1" s="510">
      <c r="A8" s="133" t="inlineStr">
        <is>
          <t>Mindest- kriterium 1</t>
        </is>
      </c>
      <c r="B8" s="131" t="inlineStr">
        <is>
          <t>Abschluss LPH 8 (01.06.2019- Veröffentlichungsdatum 04.02.26)</t>
        </is>
      </c>
      <c r="C8" s="100" t="inlineStr">
        <is>
          <t>ü</t>
        </is>
      </c>
      <c r="D8" s="102" t="inlineStr">
        <is>
          <t xml:space="preserve"> -</t>
        </is>
      </c>
      <c r="E8" s="102" t="inlineStr">
        <is>
          <t xml:space="preserve"> -</t>
        </is>
      </c>
      <c r="F8" s="102" t="inlineStr">
        <is>
          <t xml:space="preserve"> -</t>
        </is>
      </c>
      <c r="G8" s="102" t="inlineStr">
        <is>
          <t xml:space="preserve"> -</t>
        </is>
      </c>
      <c r="H8" s="103" t="inlineStr">
        <is>
          <t>û
keine Wertung</t>
        </is>
      </c>
    </row>
    <row r="9" ht="66.95" customHeight="1" s="510">
      <c r="A9" s="133" t="inlineStr">
        <is>
          <t>Mindest- kriterium 2</t>
        </is>
      </c>
      <c r="B9" s="134" t="inlineStr">
        <is>
          <t>Gebäude in der Honorarzone III</t>
        </is>
      </c>
      <c r="C9" s="100" t="inlineStr">
        <is>
          <t>ü</t>
        </is>
      </c>
      <c r="D9" s="102" t="inlineStr">
        <is>
          <t xml:space="preserve"> -</t>
        </is>
      </c>
      <c r="E9" s="102" t="inlineStr">
        <is>
          <t xml:space="preserve"> -</t>
        </is>
      </c>
      <c r="F9" s="102" t="inlineStr">
        <is>
          <t xml:space="preserve"> -</t>
        </is>
      </c>
      <c r="G9" s="102" t="inlineStr">
        <is>
          <t xml:space="preserve"> -</t>
        </is>
      </c>
      <c r="H9" s="103" t="inlineStr">
        <is>
          <t>û
keine Wertung</t>
        </is>
      </c>
    </row>
    <row r="10" ht="82.5" customHeight="1" s="510">
      <c r="A10" s="135" t="inlineStr">
        <is>
          <t>Wettbewerbs-
kriterium 1</t>
        </is>
      </c>
      <c r="B10" s="138" t="inlineStr">
        <is>
          <t xml:space="preserve">Anzahl erbrachter, zusammenhängender Leistungsphasen </t>
        </is>
      </c>
      <c r="C10" s="139" t="inlineStr">
        <is>
          <t>8-9
Leistungsphasen</t>
        </is>
      </c>
      <c r="D10" s="145" t="inlineStr">
        <is>
          <t>6-7
Leistungsphasen</t>
        </is>
      </c>
      <c r="E10" s="145" t="inlineStr">
        <is>
          <t>4-5
Leistungsphasen</t>
        </is>
      </c>
      <c r="F10" s="145" t="inlineStr">
        <is>
          <t>3-4
Leistungsphasen</t>
        </is>
      </c>
      <c r="G10" s="145" t="inlineStr">
        <is>
          <t xml:space="preserve"> 1-2
Leistungsphasen</t>
        </is>
      </c>
      <c r="H10" s="103" t="inlineStr">
        <is>
          <t>û
weniger oder keine Angabe</t>
        </is>
      </c>
    </row>
    <row r="11" ht="79.5" customHeight="1" s="510">
      <c r="A11" s="322" t="inlineStr">
        <is>
          <t>Wettbewerbs-
kriterium 2</t>
        </is>
      </c>
      <c r="B11" s="132" t="inlineStr">
        <is>
          <t>Bildungsstätte (Grund- und weiterführende Schulen, wie Haupt-Mittelschule, Realschule, Gymnasium, oder vergleichbar)</t>
        </is>
      </c>
      <c r="C11" s="100" t="inlineStr">
        <is>
          <t>ü</t>
        </is>
      </c>
      <c r="D11" s="102" t="inlineStr">
        <is>
          <t xml:space="preserve"> -</t>
        </is>
      </c>
      <c r="E11" s="102" t="inlineStr">
        <is>
          <t xml:space="preserve"> -</t>
        </is>
      </c>
      <c r="F11" s="102" t="inlineStr">
        <is>
          <t xml:space="preserve"> -</t>
        </is>
      </c>
      <c r="G11" s="102" t="inlineStr">
        <is>
          <t xml:space="preserve"> -</t>
        </is>
      </c>
      <c r="H11" s="323" t="inlineStr">
        <is>
          <t>û
weniger oder keine Angabe</t>
        </is>
      </c>
    </row>
    <row r="12" ht="68.25" customHeight="1" s="510">
      <c r="A12" s="135" t="inlineStr">
        <is>
          <t>Wettbewerbs-
kriterium 3</t>
        </is>
      </c>
      <c r="B12" s="132" t="inlineStr">
        <is>
          <t xml:space="preserve">Bauarbeiten im laufenden Betrieb </t>
        </is>
      </c>
      <c r="C12" s="100" t="inlineStr">
        <is>
          <t>ü</t>
        </is>
      </c>
      <c r="D12" s="102" t="inlineStr">
        <is>
          <t xml:space="preserve"> -</t>
        </is>
      </c>
      <c r="E12" s="102" t="inlineStr">
        <is>
          <t xml:space="preserve"> -</t>
        </is>
      </c>
      <c r="F12" s="102" t="inlineStr">
        <is>
          <t xml:space="preserve"> -</t>
        </is>
      </c>
      <c r="G12" s="102" t="inlineStr">
        <is>
          <t xml:space="preserve"> -</t>
        </is>
      </c>
      <c r="H12" s="103" t="inlineStr">
        <is>
          <t>û
oder keine Angabe</t>
        </is>
      </c>
      <c r="M12" s="118" t="n"/>
      <c r="N12" s="118" t="n"/>
      <c r="O12" s="118" t="n"/>
      <c r="P12" s="118" t="n"/>
      <c r="Q12" s="118" t="n"/>
      <c r="R12" s="118" t="n"/>
    </row>
    <row r="13" ht="68.25" customHeight="1" s="510">
      <c r="A13" s="135" t="inlineStr">
        <is>
          <t>Wettbewerbs-
kriterium 4</t>
        </is>
      </c>
      <c r="B13" s="132" t="inlineStr">
        <is>
          <t>Erweiterung an Bestand oder freistehender Neubau</t>
        </is>
      </c>
      <c r="C13" s="339" t="inlineStr">
        <is>
          <t xml:space="preserve"> Erweiterung an Bestand</t>
        </is>
      </c>
      <c r="D13" s="102" t="inlineStr">
        <is>
          <t xml:space="preserve"> -</t>
        </is>
      </c>
      <c r="E13" s="102" t="inlineStr">
        <is>
          <t xml:space="preserve"> -</t>
        </is>
      </c>
      <c r="F13" s="102" t="inlineStr">
        <is>
          <t xml:space="preserve"> -</t>
        </is>
      </c>
      <c r="G13" s="340" t="inlineStr">
        <is>
          <t>freistehender Neubau</t>
        </is>
      </c>
      <c r="H13" s="103" t="inlineStr">
        <is>
          <t>û
oder keine Angabe</t>
        </is>
      </c>
      <c r="M13" s="118" t="n"/>
      <c r="N13" s="118" t="n"/>
      <c r="O13" s="118" t="n"/>
      <c r="P13" s="118" t="n"/>
      <c r="Q13" s="118" t="n"/>
      <c r="R13" s="118" t="n"/>
    </row>
    <row r="14" ht="79.5" customHeight="1" s="510">
      <c r="A14" s="135" t="inlineStr">
        <is>
          <t>Wettbewerbs-
kriterium 5</t>
        </is>
      </c>
      <c r="B14" s="132" t="inlineStr">
        <is>
          <t>Baukosten der KGR 300 - 400 
im Sinne der DIN 276 (€ netto)</t>
        </is>
      </c>
      <c r="C14" s="144" t="inlineStr">
        <is>
          <t>ü
&gt;4,5 Mio €</t>
        </is>
      </c>
      <c r="D14" s="143" t="inlineStr">
        <is>
          <t>&gt; 4,0 Mio €
≤ 4,5 Mio €</t>
        </is>
      </c>
      <c r="E14" s="143" t="inlineStr">
        <is>
          <t>&gt; 3,5 Mio €
≤ 4,0 Mio €</t>
        </is>
      </c>
      <c r="F14" s="143" t="inlineStr">
        <is>
          <t>&gt; 3,0 Mio €
≤ 3,5 Mio €</t>
        </is>
      </c>
      <c r="G14" s="143" t="inlineStr">
        <is>
          <t>&gt; 2,5 Mio €
≤ 3,0 Mio €</t>
        </is>
      </c>
      <c r="H14" s="103" t="inlineStr">
        <is>
          <t>û
weniger oder keine Angabe</t>
        </is>
      </c>
      <c r="M14" s="118" t="n"/>
      <c r="N14" s="118" t="n"/>
      <c r="O14" s="118" t="n"/>
      <c r="P14" s="118" t="n"/>
      <c r="Q14" s="118" t="n"/>
      <c r="R14" s="118" t="n"/>
    </row>
    <row r="15" ht="68.25" customHeight="1" s="510">
      <c r="A15" s="135" t="inlineStr">
        <is>
          <t>Wettbewerbs-
kriterium 6</t>
        </is>
      </c>
      <c r="B15" s="132" t="inlineStr">
        <is>
          <t>öffentlicher AG</t>
        </is>
      </c>
      <c r="C15" s="100" t="inlineStr">
        <is>
          <t>ü</t>
        </is>
      </c>
      <c r="D15" s="102" t="inlineStr">
        <is>
          <t xml:space="preserve"> -</t>
        </is>
      </c>
      <c r="E15" s="102" t="inlineStr">
        <is>
          <t xml:space="preserve"> -</t>
        </is>
      </c>
      <c r="F15" s="102" t="inlineStr">
        <is>
          <t xml:space="preserve"> -</t>
        </is>
      </c>
      <c r="G15" s="102" t="inlineStr">
        <is>
          <t xml:space="preserve"> -</t>
        </is>
      </c>
      <c r="H15" s="103" t="inlineStr">
        <is>
          <t>û
oder keine Angabe</t>
        </is>
      </c>
      <c r="M15" s="118" t="n"/>
      <c r="N15" s="118" t="n"/>
      <c r="O15" s="118" t="n"/>
      <c r="P15" s="118" t="n"/>
      <c r="Q15" s="118" t="n"/>
      <c r="R15" s="118" t="n"/>
    </row>
    <row r="16" ht="68.25" customHeight="1" s="510">
      <c r="A16" s="135" t="inlineStr">
        <is>
          <t>Wettbewerbs-
kriterium 7</t>
        </is>
      </c>
      <c r="B16" s="132" t="inlineStr">
        <is>
          <t>geförderte Maßnahme</t>
        </is>
      </c>
      <c r="C16" s="100" t="inlineStr">
        <is>
          <t>ü</t>
        </is>
      </c>
      <c r="D16" s="102" t="inlineStr">
        <is>
          <t xml:space="preserve"> -</t>
        </is>
      </c>
      <c r="E16" s="102" t="inlineStr">
        <is>
          <t xml:space="preserve"> -</t>
        </is>
      </c>
      <c r="F16" s="102" t="inlineStr">
        <is>
          <t xml:space="preserve"> -</t>
        </is>
      </c>
      <c r="G16" s="102" t="inlineStr">
        <is>
          <t xml:space="preserve"> -</t>
        </is>
      </c>
      <c r="H16" s="103" t="inlineStr">
        <is>
          <t>û
oder keine Angabe</t>
        </is>
      </c>
      <c r="M16" s="118" t="n"/>
      <c r="N16" s="118" t="n"/>
      <c r="O16" s="118" t="n"/>
      <c r="P16" s="118" t="n"/>
      <c r="Q16" s="118" t="n"/>
      <c r="R16" s="118" t="n"/>
    </row>
    <row r="17" ht="20.25" customHeight="1" s="510">
      <c r="A17" s="465" t="n"/>
      <c r="B17" s="584" t="n"/>
      <c r="C17" s="462" t="n"/>
      <c r="D17" s="583" t="n"/>
      <c r="E17" s="583" t="n"/>
      <c r="F17" s="583" t="n"/>
      <c r="G17" s="583" t="n"/>
      <c r="H17" s="583" t="n"/>
    </row>
    <row r="18" ht="28.5" customHeight="1" s="510">
      <c r="A18" s="101" t="inlineStr">
        <is>
          <t>Punktevergabe</t>
        </is>
      </c>
      <c r="B18" s="584" t="n"/>
      <c r="C18" s="101" t="n">
        <v>5</v>
      </c>
      <c r="D18" s="101" t="n">
        <v>4</v>
      </c>
      <c r="E18" s="101" t="n">
        <v>3</v>
      </c>
      <c r="F18" s="101" t="n">
        <v>2</v>
      </c>
      <c r="G18" s="101" t="n">
        <v>1</v>
      </c>
      <c r="H18" s="101" t="n">
        <v>0</v>
      </c>
    </row>
    <row r="19" ht="25.5" customHeight="1" s="510">
      <c r="A19" s="452" t="inlineStr">
        <is>
          <t>erreichte Punktzahl</t>
        </is>
      </c>
      <c r="B19" s="584" t="n"/>
      <c r="C19" s="326" t="inlineStr">
        <is>
          <t>45
≥ 42</t>
        </is>
      </c>
      <c r="D19" s="326" t="inlineStr">
        <is>
          <t>&lt; 42
≥ 38</t>
        </is>
      </c>
      <c r="E19" s="326" t="inlineStr">
        <is>
          <t>&lt; 38
≥ 32</t>
        </is>
      </c>
      <c r="F19" s="326" t="inlineStr">
        <is>
          <t>&lt; 32
≥ 28</t>
        </is>
      </c>
      <c r="G19" s="326" t="inlineStr">
        <is>
          <t>&lt; 28
≥ 20</t>
        </is>
      </c>
      <c r="H19" s="452" t="inlineStr">
        <is>
          <t>&lt; 20</t>
        </is>
      </c>
    </row>
  </sheetData>
  <sheetProtection selectLockedCells="0" selectUnlockedCells="0" algorithmName="SHA-512" sheet="1" objects="1" insertRows="1" insertHyperlinks="1" autoFilter="1" scenarios="1" formatColumns="1" deleteColumns="1" insertColumns="1" pivotTables="1" deleteRows="1" formatCells="1" saltValue="UUNI5su0/6KmdIXW5172vA==" formatRows="1" sort="1" spinCount="100000" hashValue="GgKQtgH/DKvhv/8W12Ep0r9WWY5y1/bpkFkcMmAXEEb5ruo9R/AsaE99DznvXw55AARQPD9ryYjl84wklYq4PQ=="/>
  <mergeCells count="6">
    <mergeCell ref="A4:H5"/>
    <mergeCell ref="A19:B19"/>
    <mergeCell ref="A17:B17"/>
    <mergeCell ref="C17:H17"/>
    <mergeCell ref="A18:B18"/>
    <mergeCell ref="C7:H7"/>
  </mergeCells>
  <pageMargins left="0.7086614173228347" right="0.7086614173228347" top="0.7874015748031497" bottom="0.7874015748031497" header="0.3149606299212598" footer="0.3149606299212598"/>
  <pageSetup orientation="portrait" paperSize="9" scale="70"/>
</worksheet>
</file>

<file path=xl/worksheets/sheet10.xml><?xml version="1.0" encoding="utf-8"?>
<worksheet xmlns="http://schemas.openxmlformats.org/spreadsheetml/2006/main">
  <sheetPr>
    <tabColor theme="9" tint="-0.249977111117893"/>
    <outlinePr summaryBelow="1" summaryRight="1"/>
    <pageSetUpPr fitToPage="1"/>
  </sheetPr>
  <dimension ref="A1:H69"/>
  <sheetViews>
    <sheetView view="pageBreakPreview" zoomScale="90" zoomScaleNormal="100" zoomScaleSheetLayoutView="90" workbookViewId="0">
      <selection activeCell="D15" sqref="D15"/>
    </sheetView>
  </sheetViews>
  <sheetFormatPr baseColWidth="10" defaultRowHeight="12.75"/>
  <cols>
    <col width="9.85546875" customWidth="1" style="510" min="1" max="1"/>
    <col width="96" customWidth="1" style="395" min="2" max="2"/>
    <col width="25.7109375" customWidth="1" style="510" min="3" max="5"/>
    <col width="22.7109375" customWidth="1" style="510" min="6" max="9"/>
  </cols>
  <sheetData>
    <row r="1" ht="38.25" customHeight="1" s="510">
      <c r="A1" s="502">
        <f>Bewerbungsformblatt!A1</f>
        <v/>
      </c>
      <c r="D1" s="116" t="n"/>
      <c r="E1" s="116" t="n"/>
      <c r="F1" s="49" t="n"/>
      <c r="G1" s="49" t="n"/>
      <c r="H1" s="49" t="n"/>
    </row>
    <row r="2" ht="32.25" customHeight="1" s="510">
      <c r="A2" s="506">
        <f>Bewerbungsformblatt!A2</f>
        <v/>
      </c>
      <c r="C2" s="42" t="n"/>
    </row>
    <row r="3" ht="17.25" customHeight="1" s="510">
      <c r="A3" s="43" t="n"/>
      <c r="B3" s="43" t="n"/>
      <c r="C3" s="43" t="n"/>
    </row>
    <row r="4" ht="18.75" customHeight="1" s="510">
      <c r="A4" s="43" t="n"/>
      <c r="B4" s="42" t="n"/>
      <c r="C4" s="42" t="n"/>
    </row>
    <row r="5" ht="27.75" customHeight="1" s="510">
      <c r="A5" s="58" t="inlineStr">
        <is>
          <t>Bewertungsbogen Konzept/Präsentation</t>
        </is>
      </c>
      <c r="B5" s="84" t="n"/>
      <c r="C5" s="42" t="n"/>
    </row>
    <row r="6" hidden="1" ht="36" customHeight="1" s="510">
      <c r="A6" s="503" t="inlineStr">
        <is>
          <t>Die kursiv angegebenen Stichworte bei den Unterkriterien sind Beispielhaft und nur zur Orientierung für das Entscheidungsgremium gedacht und stellen keine definitive oder abschliessende Auflistung dar! Die Bewertung hat anhand der Inhalte der Präsentationen der einzelnen Büros zu erfolgen!</t>
        </is>
      </c>
    </row>
    <row r="7" ht="8.25" customHeight="1" s="510">
      <c r="A7" s="2" t="n"/>
      <c r="B7" s="42" t="n"/>
      <c r="C7" s="42" t="n"/>
    </row>
    <row r="8" ht="5.25" customHeight="1" s="510"/>
    <row r="9" ht="11.25" customHeight="1" s="510">
      <c r="C9" s="17" t="n"/>
    </row>
    <row r="10" ht="15" customHeight="1" s="510">
      <c r="A10" s="598" t="inlineStr">
        <is>
          <t>0. Kurzvorstellung des Büros</t>
        </is>
      </c>
      <c r="B10" s="583" t="n"/>
      <c r="C10" s="583" t="n"/>
      <c r="D10" s="583" t="n"/>
      <c r="E10" s="584" t="n"/>
    </row>
    <row r="11" ht="25.5" customHeight="1" s="510">
      <c r="A11" s="511" t="n"/>
      <c r="B11" s="511" t="n"/>
      <c r="C11" s="48" t="inlineStr">
        <is>
          <t>Wertung</t>
        </is>
      </c>
      <c r="D11" s="52" t="inlineStr">
        <is>
          <t>Wichtung</t>
        </is>
      </c>
      <c r="E11" s="52" t="inlineStr">
        <is>
          <t>maximale Punktzahl</t>
        </is>
      </c>
    </row>
    <row r="12" ht="46.5" customFormat="1" customHeight="1" s="3">
      <c r="A12" s="71" t="inlineStr">
        <is>
          <t xml:space="preserve">1. </t>
        </is>
      </c>
      <c r="B12" s="513" t="inlineStr">
        <is>
          <t>ANGABEN ZUR ARBEITSWEISE</t>
        </is>
      </c>
      <c r="C12" s="583" t="n"/>
      <c r="D12" s="583" t="n"/>
      <c r="E12" s="584" t="n"/>
    </row>
    <row r="13" ht="18.95" customHeight="1" s="510">
      <c r="A13" s="599" t="n"/>
      <c r="B13" s="584" t="n"/>
      <c r="C13" s="72" t="inlineStr">
        <is>
          <t>max.</t>
        </is>
      </c>
      <c r="D13" s="40" t="n"/>
      <c r="E13" s="73" t="inlineStr">
        <is>
          <t>max.</t>
        </is>
      </c>
    </row>
    <row r="14" ht="30.75" customHeight="1" s="510">
      <c r="A14" s="600" t="inlineStr">
        <is>
          <t>Bitte erläutern Sie anhand eines oder mehrerer geeigneter Referenzprojekte Ihre Herangehensweise an das Projekt unter folgenden Gesichtspunkten:</t>
        </is>
      </c>
      <c r="B14" s="10" t="n"/>
      <c r="C14" s="74" t="n"/>
      <c r="D14" s="40" t="n"/>
      <c r="E14" s="40" t="n"/>
    </row>
    <row r="15" ht="42" customHeight="1" s="510">
      <c r="A15" s="75" t="inlineStr">
        <is>
          <t>a.)</t>
        </is>
      </c>
      <c r="B15" s="76" t="inlineStr">
        <is>
          <t>Im Auftragsfall werden die Leistungspflichten durch die dem Vertrag zu Grunde liegenden ZVB detailliert bestimmt. Bitte erläutern Sie, wie Sie die Erbringung der einzelnen Leistungen anbieten (Schilderung der Arbeitsweise bei der Abwicklung des Auftrags und Schwerpunkte Ihrer Tätigkeit).</t>
        </is>
      </c>
      <c r="C15" s="77" t="n">
        <v>5</v>
      </c>
      <c r="D15" s="51" t="n">
        <v>2</v>
      </c>
      <c r="E15" s="51">
        <f>C15*D15</f>
        <v/>
      </c>
    </row>
    <row r="16" ht="32.25" customHeight="1" s="510">
      <c r="A16" s="75" t="inlineStr">
        <is>
          <t>b.)</t>
        </is>
      </c>
      <c r="B16" s="76" t="inlineStr">
        <is>
          <t>Wie gestalten Sie Ihre Zusammenarbeit und Kommunikation mit den anderen
Projektbeteiligten und dem Auftraggeber?</t>
        </is>
      </c>
      <c r="C16" s="77" t="n">
        <v>5</v>
      </c>
      <c r="D16" s="51" t="n">
        <v>2</v>
      </c>
      <c r="E16" s="51">
        <f>C16*D16</f>
        <v/>
      </c>
    </row>
    <row r="17" ht="32.25" customHeight="1" s="510">
      <c r="A17" s="78" t="inlineStr">
        <is>
          <t>c.)</t>
        </is>
      </c>
      <c r="B17" s="87" t="inlineStr">
        <is>
          <t>Welche Methoden zur Kosten- und Terminverfolgung haben Sie und wie gehen Sie bei Kosten- bzw. Terminabweichungen vor?</t>
        </is>
      </c>
      <c r="C17" s="77" t="n">
        <v>5</v>
      </c>
      <c r="D17" s="51" t="n">
        <v>4</v>
      </c>
      <c r="E17" s="51">
        <f>C17*D17</f>
        <v/>
      </c>
    </row>
    <row r="18" ht="32.25" customHeight="1" s="510">
      <c r="A18" s="78" t="inlineStr">
        <is>
          <t>d.)</t>
        </is>
      </c>
      <c r="B18" s="87" t="inlineStr">
        <is>
          <t>Umgang mit öffentlichen Projekten (AG), Vergabeverfahren (öffentliche/offene Verfahren), produktneutraler Ausschreibung, sowie dem Vergabehandbuch Bayern?</t>
        </is>
      </c>
      <c r="C18" s="77" t="n">
        <v>5</v>
      </c>
      <c r="D18" s="51" t="n">
        <v>3</v>
      </c>
      <c r="E18" s="51">
        <f>C18*D18</f>
        <v/>
      </c>
    </row>
    <row r="19" ht="35.1" customFormat="1" customHeight="1" s="41">
      <c r="A19" s="129" t="inlineStr">
        <is>
          <t xml:space="preserve">2. </t>
        </is>
      </c>
      <c r="B19" s="512" t="inlineStr">
        <is>
          <t>VERFÜGBARKEIT UND PERSONALEINSATZ</t>
        </is>
      </c>
      <c r="C19" s="512" t="n"/>
      <c r="D19" s="512" t="n"/>
      <c r="E19" s="513" t="n"/>
    </row>
    <row r="20" ht="20.1" customFormat="1" customHeight="1" s="41">
      <c r="A20" s="601" t="n"/>
      <c r="B20" s="584" t="n"/>
      <c r="C20" s="79" t="inlineStr">
        <is>
          <t>max.</t>
        </is>
      </c>
      <c r="D20" s="50" t="n"/>
      <c r="E20" s="47" t="inlineStr">
        <is>
          <t xml:space="preserve">max. </t>
        </is>
      </c>
    </row>
    <row r="21" ht="32.25" customHeight="1" s="510">
      <c r="A21" s="78" t="inlineStr">
        <is>
          <t>a.)</t>
        </is>
      </c>
      <c r="B21" s="80" t="inlineStr">
        <is>
          <t>Wie werden Sie Ihre grundsätzliche Verfügbarkeit gewährleisten? Wie stellen Sie sich die Bauleitertätigkeit, insbesondere in Bezug auf die Verfügbarkeit, vor?</t>
        </is>
      </c>
      <c r="C21" s="77" t="n">
        <v>5</v>
      </c>
      <c r="D21" s="51" t="n">
        <v>5</v>
      </c>
      <c r="E21" s="51">
        <f>C21*D21</f>
        <v/>
      </c>
    </row>
    <row r="22" ht="20.25" customHeight="1" s="510">
      <c r="A22" s="78" t="inlineStr">
        <is>
          <t>b.)</t>
        </is>
      </c>
      <c r="B22" s="81" t="inlineStr">
        <is>
          <t>Welche Vertretungsregelungen im Urlaubs- und Krankheitsfall sehen Sie vor?</t>
        </is>
      </c>
      <c r="C22" s="127" t="n">
        <v>5</v>
      </c>
      <c r="D22" s="51" t="n">
        <v>3</v>
      </c>
      <c r="E22" s="51">
        <f>C22*D22</f>
        <v/>
      </c>
    </row>
    <row r="23" ht="42" customHeight="1" s="510">
      <c r="A23" s="78" t="inlineStr">
        <is>
          <t>c.)</t>
        </is>
      </c>
      <c r="B23" s="81" t="inlineStr">
        <is>
          <t>Der Auftraggeber möchte sicherstellen, dass durch das vorgesehene Personal eine zügige Durchführung des Projekts gewährleistet ist. Bitte zeigen sie auf, mit welchen personellen Mitteln Sie dies einhalten wollen. Erstellen Sie hierzu bitte einen Personaleinsatzplan inkl. den entsprechenden Vollzeitäquivalenten.</t>
        </is>
      </c>
      <c r="C23" s="77" t="n">
        <v>5</v>
      </c>
      <c r="D23" s="51" t="n">
        <v>7</v>
      </c>
      <c r="E23" s="51">
        <f>C23*D23</f>
        <v/>
      </c>
    </row>
    <row r="24" ht="35.1" customFormat="1" customHeight="1" s="41">
      <c r="A24" s="128" t="inlineStr">
        <is>
          <t xml:space="preserve">3. </t>
        </is>
      </c>
      <c r="B24" s="336" t="inlineStr">
        <is>
          <t>QUALIFIKATION DES ZUM EINSATZ KOMMENDEN PERSONALS</t>
        </is>
      </c>
      <c r="C24" s="336" t="n"/>
      <c r="D24" s="336" t="n"/>
      <c r="E24" s="337" t="n"/>
    </row>
    <row r="25" ht="20.1" customFormat="1" customHeight="1" s="41">
      <c r="A25" s="602" t="n"/>
      <c r="B25" s="584" t="n"/>
      <c r="C25" s="47" t="inlineStr">
        <is>
          <t>max.</t>
        </is>
      </c>
      <c r="D25" s="50" t="n"/>
      <c r="E25" s="47" t="inlineStr">
        <is>
          <t xml:space="preserve">max. </t>
        </is>
      </c>
    </row>
    <row r="26" ht="48" customHeight="1" s="510">
      <c r="A26" s="603" t="inlineStr">
        <is>
          <t>Der Auftraggeber erwartet, dass der Projektleiter/ stellv. Projektleiter und Bauleiter, die zum Einsatz kommen, die entsprechende, einschlägige Berufserfahrung haben. Die Berufserfahrung soll persönlich anhand von Referenzprojekten dargestellt werden.
≥12 -jährige Berufserfahrung und 2 vergleichbare Referenzen erzielen volle Punktzahl (= 5 Pkt.)
&lt;12 -jährige Berufserfahrung ≥ 10 -jährige Berufserfahrung und 2 vergleichbare Referenzen erzielen 4 Pkt.
&lt;10 -jährige Berufserfahrung ≥ 6 -jährige Berufserfahrung und 2 vergleichbare Referenzen erzielen 3 Pkt.
&lt; 6 -jährige Berufserfahrung ≥ 4 -jährige Berufserfahrung und 2 vergleichbare Referenzen erzielen 2 Pkt.
&lt; 4 -jährige Berufserfahrung ≥ 1 -jährige Berufserfahrung und 2 vergleichbare Referenzen erzielen 1 Pkt.</t>
        </is>
      </c>
      <c r="B26" s="10" t="n"/>
      <c r="C26" s="491" t="n"/>
      <c r="D26" s="604" t="n"/>
      <c r="E26" s="604" t="n"/>
    </row>
    <row r="27" ht="114" customHeight="1" s="510">
      <c r="A27" s="11" t="n"/>
      <c r="B27" s="511" t="n"/>
      <c r="C27" s="20" t="n"/>
      <c r="D27" s="20" t="n"/>
      <c r="E27" s="20" t="n"/>
    </row>
    <row r="28" ht="20.25" customHeight="1" s="510">
      <c r="A28" s="78" t="inlineStr">
        <is>
          <t>a.)</t>
        </is>
      </c>
      <c r="B28" s="81" t="inlineStr">
        <is>
          <t>Berufserfahrung des vorgesehenen Projektleiters</t>
        </is>
      </c>
      <c r="C28" s="77" t="n">
        <v>5</v>
      </c>
      <c r="D28" s="51" t="n">
        <v>5</v>
      </c>
      <c r="E28" s="51">
        <f>C28*D28</f>
        <v/>
      </c>
    </row>
    <row r="29" ht="20.25" customHeight="1" s="510">
      <c r="A29" s="78" t="inlineStr">
        <is>
          <t>b.)</t>
        </is>
      </c>
      <c r="B29" s="81" t="inlineStr">
        <is>
          <t>Berufserfahrung des stellvertretenden Projektleiters</t>
        </is>
      </c>
      <c r="C29" s="77" t="n">
        <v>5</v>
      </c>
      <c r="D29" s="51" t="n">
        <v>5</v>
      </c>
      <c r="E29" s="51">
        <f>C29*D29</f>
        <v/>
      </c>
    </row>
    <row r="30" ht="20.25" customHeight="1" s="510">
      <c r="A30" s="78" t="inlineStr">
        <is>
          <t>c.)</t>
        </is>
      </c>
      <c r="B30" s="81" t="inlineStr">
        <is>
          <t>Berufserfahrung des vorgesehenen Bauleiters</t>
        </is>
      </c>
      <c r="C30" s="82" t="n">
        <v>5</v>
      </c>
      <c r="D30" s="51" t="n">
        <v>5</v>
      </c>
      <c r="E30" s="51">
        <f>C30*D30</f>
        <v/>
      </c>
    </row>
    <row r="31" ht="35.1" customFormat="1" customHeight="1" s="41">
      <c r="A31" s="128" t="inlineStr">
        <is>
          <t xml:space="preserve">4. </t>
        </is>
      </c>
      <c r="B31" s="334" t="inlineStr">
        <is>
          <t>AUSEINANDERSETZUNG MIT DEM KONKRETEN VORHABEN</t>
        </is>
      </c>
      <c r="C31" s="334" t="n"/>
      <c r="D31" s="334" t="n"/>
      <c r="E31" s="335" t="n"/>
    </row>
    <row r="32" ht="20.1" customFormat="1" customHeight="1" s="41">
      <c r="A32" s="605" t="n"/>
      <c r="B32" s="511" t="n"/>
      <c r="C32" s="47" t="inlineStr">
        <is>
          <t>max.</t>
        </is>
      </c>
      <c r="D32" s="50" t="n"/>
      <c r="E32" s="47" t="inlineStr">
        <is>
          <t xml:space="preserve">max. </t>
        </is>
      </c>
    </row>
    <row r="33" ht="20.1" customHeight="1" s="510">
      <c r="A33" s="603" t="inlineStr">
        <is>
          <t xml:space="preserve">Der Bieter soll zeigen, dass er sich gedanklich bereits ein erstes Mal mit dem Projekt auseinandergesetzt hat und zur Entwicklung praktikabler Lösungsansätze in der Lage ist. Hier kann der Bieter darlegen, wie eine Aufteilung der einzelnen Funktionsbereiche und Verkehrswege aussehen könnte. Ferner kann der Bieter erste gestalterische Überlegungen darlegen. Dies kann in Textform, gerne aber auch anhand von Grob-/Handskizzen erfolgen. Der Bieter soll ferner darlegen, wo die Herausforderungen des konkreten Projekts liegen. Der Auftraggeber erwartet hier ausdrücklich noch keinen vertieften Einstieg in die Planung. </t>
        </is>
      </c>
      <c r="B33" s="10" t="n"/>
      <c r="C33" s="491" t="n"/>
      <c r="D33" s="604" t="n"/>
      <c r="E33" s="604" t="n"/>
    </row>
    <row r="34" ht="73.5" customHeight="1" s="510">
      <c r="A34" s="11" t="n"/>
      <c r="B34" s="511" t="n"/>
      <c r="C34" s="20" t="n"/>
      <c r="D34" s="20" t="n"/>
      <c r="E34" s="20" t="n"/>
    </row>
    <row r="35" ht="30" customHeight="1" s="510">
      <c r="A35" s="78" t="inlineStr">
        <is>
          <t>a.)</t>
        </is>
      </c>
      <c r="B35" s="81" t="inlineStr">
        <is>
          <t>Erstüberlegung zur Gestaltung</t>
        </is>
      </c>
      <c r="C35" s="77" t="n">
        <v>5</v>
      </c>
      <c r="D35" s="51" t="n">
        <v>8</v>
      </c>
      <c r="E35" s="51">
        <f>C35*D35</f>
        <v/>
      </c>
    </row>
    <row r="36" ht="30" customHeight="1" s="510">
      <c r="A36" s="78" t="inlineStr">
        <is>
          <t>b.)</t>
        </is>
      </c>
      <c r="B36" s="81" t="inlineStr">
        <is>
          <t>Erstüberlegung zur Aufteilung der Funktionsbereiche</t>
        </is>
      </c>
      <c r="C36" s="77" t="n">
        <v>5</v>
      </c>
      <c r="D36" s="51" t="n">
        <v>8</v>
      </c>
      <c r="E36" s="51">
        <f>C36*D36</f>
        <v/>
      </c>
    </row>
    <row r="37" ht="33.75" customHeight="1" s="510">
      <c r="A37" s="78" t="inlineStr">
        <is>
          <t>a.)</t>
        </is>
      </c>
      <c r="B37" s="81" t="inlineStr">
        <is>
          <t>Der Bieter hat darzulegen wie er sich die Umsetzung in Bezug auf Bauablauf und - Logistik vor dem Hintergrund vorstellt, dass die Maßnahme im laufenden Betrieb stattfindet.</t>
        </is>
      </c>
      <c r="C37" s="77" t="n">
        <v>5</v>
      </c>
      <c r="D37" s="51" t="n">
        <v>10</v>
      </c>
      <c r="E37" s="51">
        <f>C37*D37</f>
        <v/>
      </c>
    </row>
    <row r="38" ht="20.25" customHeight="1" s="510">
      <c r="A38" s="78" t="inlineStr">
        <is>
          <t>d.)</t>
        </is>
      </c>
      <c r="B38" s="81" t="inlineStr">
        <is>
          <t>Weitere Herausforderungen des konkreten Projekts.</t>
        </is>
      </c>
      <c r="C38" s="77" t="n">
        <v>5</v>
      </c>
      <c r="D38" s="51" t="n">
        <v>8</v>
      </c>
      <c r="E38" s="51">
        <f>C38*D38</f>
        <v/>
      </c>
    </row>
    <row r="39" ht="30" customHeight="1" s="510">
      <c r="A39" s="121" t="inlineStr">
        <is>
          <t xml:space="preserve">5. </t>
        </is>
      </c>
      <c r="B39" s="332" t="inlineStr">
        <is>
          <t>Präsentation</t>
        </is>
      </c>
      <c r="C39" s="332" t="n"/>
      <c r="D39" s="332" t="n"/>
      <c r="E39" s="333" t="n"/>
    </row>
    <row r="40" ht="20.1" customFormat="1" customHeight="1" s="41">
      <c r="A40" s="605" t="n"/>
      <c r="B40" s="511" t="n"/>
      <c r="C40" s="119" t="inlineStr">
        <is>
          <t>max.</t>
        </is>
      </c>
      <c r="D40" s="120" t="n"/>
      <c r="E40" s="119" t="inlineStr">
        <is>
          <t xml:space="preserve">max. </t>
        </is>
      </c>
    </row>
    <row r="41" ht="21.75" customHeight="1" s="510">
      <c r="A41" s="603" t="inlineStr">
        <is>
          <t xml:space="preserve">Im Rahmen der Präsentation der Konzeptschwerpunkte werden ferner folgende Aspekte gewertet: </t>
        </is>
      </c>
      <c r="B41" s="10" t="n"/>
      <c r="C41" s="491" t="n"/>
      <c r="D41" s="320" t="n"/>
      <c r="E41" s="492" t="n"/>
    </row>
    <row r="42" ht="32.25" customHeight="1" s="510">
      <c r="A42" s="78" t="inlineStr">
        <is>
          <t>a.)</t>
        </is>
      </c>
      <c r="B42" s="81" t="inlineStr">
        <is>
          <t xml:space="preserve">Schwerpunktsetzung und Fachlichkeit der Präsentationsbeiträge von Projektleiter/ stellv. Projektleiter und vorgesehenem Bauleiter. </t>
        </is>
      </c>
      <c r="C42" s="77" t="n">
        <v>5</v>
      </c>
      <c r="D42" s="122" t="n">
        <v>2</v>
      </c>
      <c r="E42" s="51">
        <f>C42*D42</f>
        <v/>
      </c>
    </row>
    <row r="43" ht="20.25" customHeight="1" s="510">
      <c r="A43" s="78" t="inlineStr">
        <is>
          <t>b.)</t>
        </is>
      </c>
      <c r="B43" s="81" t="inlineStr">
        <is>
          <t>Zeitmanagement des Bieters im Rahmen der Präsentation</t>
        </is>
      </c>
      <c r="C43" s="77" t="n">
        <v>5</v>
      </c>
      <c r="D43" s="122" t="n">
        <v>2</v>
      </c>
      <c r="E43" s="51">
        <f>C43*D43</f>
        <v/>
      </c>
    </row>
    <row r="44" ht="20.25" customHeight="1" s="510">
      <c r="A44" s="78" t="inlineStr">
        <is>
          <t>c.)</t>
        </is>
      </c>
      <c r="B44" s="81" t="inlineStr">
        <is>
          <t>Antworten auf fachliche Nachfragen des Gremiums</t>
        </is>
      </c>
      <c r="C44" s="77" t="n">
        <v>5</v>
      </c>
      <c r="D44" s="122" t="n">
        <v>6</v>
      </c>
      <c r="E44" s="51">
        <f>C44*D44</f>
        <v/>
      </c>
    </row>
    <row r="45" ht="35.1" customFormat="1" customHeight="1" s="41">
      <c r="A45" s="121" t="inlineStr">
        <is>
          <t>6.</t>
        </is>
      </c>
      <c r="B45" s="332" t="inlineStr">
        <is>
          <t>HONORARPARAMETER</t>
        </is>
      </c>
      <c r="C45" s="332" t="n"/>
      <c r="D45" s="332" t="n"/>
      <c r="E45" s="333" t="n"/>
    </row>
    <row r="46" ht="20.1" customFormat="1" customHeight="1" s="41">
      <c r="A46" s="601" t="n"/>
      <c r="B46" s="584" t="n"/>
      <c r="C46" s="47" t="inlineStr">
        <is>
          <t xml:space="preserve">max. </t>
        </is>
      </c>
      <c r="D46" s="50" t="n"/>
      <c r="E46" s="47" t="inlineStr">
        <is>
          <t xml:space="preserve">max. </t>
        </is>
      </c>
    </row>
    <row r="47" ht="20.1" customHeight="1" s="510">
      <c r="A47" s="497" t="inlineStr">
        <is>
          <t xml:space="preserve">Gesamthonorarangebot </t>
        </is>
      </c>
      <c r="B47" s="10" t="n"/>
      <c r="C47" s="70" t="n"/>
      <c r="D47" s="18" t="n"/>
      <c r="E47" s="18" t="n"/>
    </row>
    <row r="48" ht="68.25" customHeight="1" s="510">
      <c r="A48" s="606" t="inlineStr">
        <is>
          <t>Das im Vergleich günstigste Honorarangebot erhält ungewichtet 5 Punkte.
Honorarangebote, die höher als das 1,8-fache des günstigsten Angebotes liegen, erhalten 0 Punkte.
Honorarangebote, die daziwschen liegen, werden linear interpoliert.
Das Honorar für optionale Leistungen fließt in die Wertung mit ein.</t>
        </is>
      </c>
      <c r="B48" s="584" t="n"/>
      <c r="C48" s="127" t="n">
        <v>5</v>
      </c>
      <c r="D48" s="327" t="n">
        <v>15</v>
      </c>
      <c r="E48" s="328">
        <f>C48*D48</f>
        <v/>
      </c>
      <c r="F48" s="117" t="n"/>
    </row>
    <row r="49" ht="14.25" customHeight="1" s="510">
      <c r="A49" s="607" t="inlineStr">
        <is>
          <t>SUMME:</t>
        </is>
      </c>
      <c r="B49" s="10" t="n"/>
      <c r="C49" s="608" t="n"/>
      <c r="D49" s="608">
        <f>SUM(D14:D48)</f>
        <v/>
      </c>
      <c r="E49" s="608">
        <f>SUM(E14:E48)</f>
        <v/>
      </c>
    </row>
    <row r="50" ht="28.5" customHeight="1" s="510">
      <c r="A50" s="11" t="n"/>
      <c r="B50" s="511" t="n"/>
      <c r="C50" s="19" t="n"/>
      <c r="D50" s="19" t="n"/>
      <c r="E50" s="19" t="n"/>
    </row>
    <row r="51" ht="14.25" customHeight="1" s="510">
      <c r="A51" s="13" t="n"/>
      <c r="B51" s="15" t="n"/>
      <c r="C51" s="20" t="n"/>
      <c r="D51" s="20" t="n"/>
      <c r="E51" s="20" t="n"/>
    </row>
    <row r="52" ht="12" customHeight="1" s="510">
      <c r="C52" s="395" t="n"/>
      <c r="E52" s="62" t="n"/>
    </row>
    <row r="53">
      <c r="B53" s="62" t="n"/>
      <c r="C53" s="395" t="n"/>
    </row>
    <row r="54" ht="22.5" customHeight="1" s="510">
      <c r="A54" s="474" t="inlineStr">
        <is>
          <t xml:space="preserve">Bewertung der Kriterien gemäß Ziffern 1 und 4 sowie gemäß Ziffern 2a, b und c, 5	</t>
        </is>
      </c>
      <c r="B54" s="583" t="n"/>
      <c r="C54" s="584" t="n"/>
    </row>
    <row r="55" ht="32.1" customHeight="1" s="510">
      <c r="A55" s="83" t="inlineStr">
        <is>
          <t>5 Punkte</t>
        </is>
      </c>
      <c r="B55" s="471" t="inlineStr">
        <is>
          <t>Die Darstellung des Bieters lässt die Bewältigung der Problemstellungen in vollem Umfang erwarten. Eine sachgerechte und qualitätsvolle Leistungserfüllung erscheint sehr sicher erreichbar.</t>
        </is>
      </c>
      <c r="C55" s="584" t="n"/>
    </row>
    <row r="56" ht="32.1" customHeight="1" s="510">
      <c r="A56" s="83" t="inlineStr">
        <is>
          <t>4 Punkte</t>
        </is>
      </c>
      <c r="B56" s="471" t="inlineStr">
        <is>
          <t>Die Darstellung des Bieters lässt die Bewältigung der Problemstellungen in nahezu vollem Umfang erwarten. Eine sachgerechte und qualitätsvolle Leistungserfüllung erscheint sicher erreichbar.</t>
        </is>
      </c>
      <c r="C56" s="584" t="n"/>
    </row>
    <row r="57" ht="32.1" customHeight="1" s="510">
      <c r="A57" s="83" t="inlineStr">
        <is>
          <t>3 Punkte</t>
        </is>
      </c>
      <c r="B57" s="471" t="inlineStr">
        <is>
          <t>Die Darstellung des Bieters lässt die Bewältigung der Problemstellungen in überwiegendem Umfang erwarten. Eine sachgerechte und qualitätsvolle Leistungserfüllung erscheint erreichbar.</t>
        </is>
      </c>
      <c r="C57" s="584" t="n"/>
    </row>
    <row r="58" ht="32.1" customHeight="1" s="510">
      <c r="A58" s="83" t="inlineStr">
        <is>
          <t>2 Punkte</t>
        </is>
      </c>
      <c r="B58" s="471" t="inlineStr">
        <is>
          <t>Die Darstellung des Bieters lässt die Bewältigung der Problemstellungen in geringem Umfang erwarten. Eine sachgerechte und qualitätsvolle Leistungserfüllung erscheint zweifelhaft.</t>
        </is>
      </c>
      <c r="C58" s="584" t="n"/>
    </row>
    <row r="59" ht="32.1" customHeight="1" s="510">
      <c r="A59" s="83" t="inlineStr">
        <is>
          <t>1 Punkt</t>
        </is>
      </c>
      <c r="B59" s="471" t="inlineStr">
        <is>
          <t>Die Darstellung des Bieters lässt die Bewältigung der Problemstellungen nur in sehr geringem Umfang erwarten. Eine sachgerechte und qualitätsvolle Leistungserfüllung erscheint somit nur sehr unwahrscheinlich erreichbar.</t>
        </is>
      </c>
      <c r="C59" s="584" t="n"/>
    </row>
    <row r="60" ht="32.1" customHeight="1" s="510">
      <c r="A60" s="83" t="inlineStr">
        <is>
          <t>0 Punkte</t>
        </is>
      </c>
      <c r="B60" s="471" t="inlineStr">
        <is>
          <t>Die Dartstellung des Bieters lässt die Bewältigung der Problemstellung nicht erwarten. Eine sachgerechte und qualitätsvolle Leistungserbringung erscheint nicht erreichbar.</t>
        </is>
      </c>
      <c r="C60" s="584" t="n"/>
    </row>
    <row r="61">
      <c r="B61" s="473" t="n"/>
    </row>
    <row r="62" ht="22.5" customHeight="1" s="510">
      <c r="A62" s="474" t="inlineStr">
        <is>
          <t>Bewertung Personaleinsatzplan Ziffer 2c</t>
        </is>
      </c>
      <c r="B62" s="583" t="n"/>
      <c r="C62" s="584" t="n"/>
    </row>
    <row r="63" ht="27" customHeight="1" s="510">
      <c r="A63" s="83" t="inlineStr">
        <is>
          <t>5 Punkte</t>
        </is>
      </c>
      <c r="B63" s="471" t="inlineStr">
        <is>
          <t>Der Personaleinsatzplan lässt eine sachgerechte und qualitätsvolle Leistungserfüllung sehr sicher erwarten.</t>
        </is>
      </c>
      <c r="C63" s="584" t="n"/>
    </row>
    <row r="64" ht="27" customHeight="1" s="510">
      <c r="A64" s="83" t="inlineStr">
        <is>
          <t>4 Punkte</t>
        </is>
      </c>
      <c r="B64" s="471" t="inlineStr">
        <is>
          <t>Der Personaleinsatzplan lässt eine sachgerechte und qualitätsvolle Leistungserfüllung  sicher erwarten.</t>
        </is>
      </c>
      <c r="C64" s="584" t="n"/>
    </row>
    <row r="65" ht="27" customHeight="1" s="510">
      <c r="A65" s="83" t="inlineStr">
        <is>
          <t>3 Punkte</t>
        </is>
      </c>
      <c r="B65" s="471" t="inlineStr">
        <is>
          <t>Der Personaleinsatzplan lässt eine sachgerechte und qualitätsvolle Leistungserfüllung  erwarten.</t>
        </is>
      </c>
      <c r="C65" s="584" t="n"/>
    </row>
    <row r="66" ht="27" customHeight="1" s="510">
      <c r="A66" s="83" t="inlineStr">
        <is>
          <t>2 Punkte</t>
        </is>
      </c>
      <c r="B66" s="471" t="inlineStr">
        <is>
          <t>Der Personaleinsatzplan lässt eine sachgerechte und qualitätsvolle Leistungserfüllung zweifelhaft erscheinen.</t>
        </is>
      </c>
      <c r="C66" s="584" t="n"/>
    </row>
    <row r="67" ht="27" customHeight="1" s="510">
      <c r="A67" s="83" t="inlineStr">
        <is>
          <t>1 Punkt</t>
        </is>
      </c>
      <c r="B67" s="471" t="inlineStr">
        <is>
          <t>Der Personaleinsatzplan lässt eine sachgerechte und qualitätsvolle Leistungserfüllung sehr unwahrscheinlich erscheinen.</t>
        </is>
      </c>
      <c r="C67" s="584" t="n"/>
    </row>
    <row r="68" ht="27" customHeight="1" s="510">
      <c r="A68" s="83" t="inlineStr">
        <is>
          <t>0 Punkte</t>
        </is>
      </c>
      <c r="B68" s="471" t="inlineStr">
        <is>
          <t>Der Personaleinsatzplan lässt eine sachgerechte und qualitätsvolle Leistungserfüllung nicht  erwarten.</t>
        </is>
      </c>
      <c r="C68" s="584" t="n"/>
    </row>
    <row r="69">
      <c r="C69" s="395" t="n"/>
    </row>
  </sheetData>
  <sheetProtection selectLockedCells="0" selectUnlockedCells="0" algorithmName="SHA-512" sheet="1" objects="1" insertRows="1" insertHyperlinks="1" autoFilter="1" scenarios="1" formatColumns="1" deleteColumns="1" insertColumns="1" pivotTables="1" deleteRows="1" formatCells="1" saltValue="1x8vCwZiLXA6Tivceykg3g==" formatRows="1" sort="1" spinCount="100000" hashValue="NgHDXH7e2yUUqXNMi6UPXDCjMTxSIorMmostz+Moh2dDrRh+CCZQtcfCCH/z3IZHkuF8mj5Vubh3wO7IRlrO2Q=="/>
  <mergeCells count="43">
    <mergeCell ref="A48:B48"/>
    <mergeCell ref="A26:B27"/>
    <mergeCell ref="B59:C59"/>
    <mergeCell ref="A11:B11"/>
    <mergeCell ref="C33:C34"/>
    <mergeCell ref="E33:E34"/>
    <mergeCell ref="A49:B51"/>
    <mergeCell ref="B66:C66"/>
    <mergeCell ref="B56:C56"/>
    <mergeCell ref="A6:E6"/>
    <mergeCell ref="C26:C27"/>
    <mergeCell ref="B58:C58"/>
    <mergeCell ref="A33:B34"/>
    <mergeCell ref="A25:B25"/>
    <mergeCell ref="A41:B41"/>
    <mergeCell ref="B67:C67"/>
    <mergeCell ref="A46:B46"/>
    <mergeCell ref="B61:C61"/>
    <mergeCell ref="B60:C60"/>
    <mergeCell ref="A62:C62"/>
    <mergeCell ref="B57:C57"/>
    <mergeCell ref="C49:C51"/>
    <mergeCell ref="D33:D34"/>
    <mergeCell ref="A2:B2"/>
    <mergeCell ref="D49:D51"/>
    <mergeCell ref="B12:E12"/>
    <mergeCell ref="A47:B47"/>
    <mergeCell ref="A32:B32"/>
    <mergeCell ref="A14:B14"/>
    <mergeCell ref="E26:E27"/>
    <mergeCell ref="B65:C65"/>
    <mergeCell ref="B55:C55"/>
    <mergeCell ref="A20:B20"/>
    <mergeCell ref="B68:C68"/>
    <mergeCell ref="B64:C64"/>
    <mergeCell ref="A1:C1"/>
    <mergeCell ref="E49:E51"/>
    <mergeCell ref="A10:E10"/>
    <mergeCell ref="D26:D27"/>
    <mergeCell ref="A13:B13"/>
    <mergeCell ref="B63:C63"/>
    <mergeCell ref="A40:B40"/>
    <mergeCell ref="A54:C54"/>
  </mergeCells>
  <printOptions horizontalCentered="1"/>
  <pageMargins left="0.3937007874015748" right="0.3937007874015748" top="0.3149606299212598" bottom="0.1968503937007874" header="0.5118110236220472" footer="0"/>
  <pageSetup orientation="portrait" paperSize="8" scale="77" fitToHeight="0"/>
  <rowBreaks count="1" manualBreakCount="1">
    <brk id="52" min="0" max="4" man="1"/>
  </rowBreaks>
  <colBreaks count="1" manualBreakCount="1">
    <brk id="5" min="0" max="68" man="1"/>
  </colBreaks>
</worksheet>
</file>

<file path=xl/worksheets/sheet11.xml><?xml version="1.0" encoding="utf-8"?>
<worksheet xmlns="http://schemas.openxmlformats.org/spreadsheetml/2006/main">
  <sheetPr>
    <tabColor theme="9"/>
    <outlinePr summaryBelow="1" summaryRight="1"/>
    <pageSetUpPr/>
  </sheetPr>
  <dimension ref="B3:L52"/>
  <sheetViews>
    <sheetView view="pageBreakPreview" zoomScale="115" zoomScaleNormal="100" zoomScaleSheetLayoutView="115" workbookViewId="0">
      <selection activeCell="B18" sqref="B18:D26"/>
    </sheetView>
  </sheetViews>
  <sheetFormatPr baseColWidth="10" defaultColWidth="11.42578125" defaultRowHeight="12.75"/>
  <cols>
    <col width="2.5703125" customWidth="1" style="199" min="1" max="1"/>
    <col width="11.42578125" customWidth="1" style="199" min="2" max="2"/>
    <col width="23.5703125" customWidth="1" style="199" min="3" max="3"/>
    <col width="11.42578125" customWidth="1" style="199" min="4" max="5"/>
    <col width="13" customWidth="1" style="199" min="6" max="6"/>
    <col width="35.7109375" customWidth="1" style="199" min="7" max="7"/>
    <col width="9" customWidth="1" style="199" min="8" max="8"/>
    <col width="10" customWidth="1" style="199" min="9" max="9"/>
    <col width="11.42578125" customWidth="1" style="199" min="10" max="16384"/>
  </cols>
  <sheetData>
    <row r="1" ht="6.75" customHeight="1" s="510"/>
    <row r="2" hidden="1" s="510"/>
    <row r="3" ht="29.25" customFormat="1" customHeight="1" s="211">
      <c r="B3" s="570">
        <f>Bewerbungsformblatt!A1</f>
        <v/>
      </c>
      <c r="G3" s="570" t="n"/>
      <c r="H3" s="570" t="n"/>
    </row>
    <row r="4" ht="32.25" customFormat="1" customHeight="1" s="99">
      <c r="B4" s="571">
        <f>Bewerbungsformblatt!A2</f>
        <v/>
      </c>
      <c r="G4" s="571" t="n"/>
      <c r="H4" s="571" t="n"/>
    </row>
    <row r="5" ht="7.5" customHeight="1" s="510"/>
    <row r="6" ht="4.5" customHeight="1" s="510"/>
    <row r="7" hidden="1" s="510"/>
    <row r="8" ht="15.75" customFormat="1" customHeight="1" s="99">
      <c r="B8" s="213" t="inlineStr">
        <is>
          <t>Honorarangebot</t>
        </is>
      </c>
    </row>
    <row r="10" ht="6" customHeight="1" s="510"/>
    <row r="11" ht="33" customHeight="1" s="510">
      <c r="B11" s="99" t="inlineStr">
        <is>
          <t xml:space="preserve">Büro: </t>
        </is>
      </c>
      <c r="G11" s="572" t="inlineStr">
        <is>
          <t>Hansa Planungsgruppe GmbH</t>
        </is>
      </c>
      <c r="H11" s="172" t="n"/>
    </row>
    <row r="12" ht="13.5" customHeight="1" s="510"/>
    <row r="13" ht="30" customHeight="1" s="510">
      <c r="B13" s="609" t="inlineStr">
        <is>
          <t>Objekt</t>
        </is>
      </c>
      <c r="C13" s="583" t="n"/>
      <c r="D13" s="583" t="n"/>
      <c r="E13" s="584" t="n"/>
      <c r="F13" s="202" t="n"/>
      <c r="G13" s="610" t="inlineStr">
        <is>
          <t>Erweiterung Grundschule</t>
        </is>
      </c>
      <c r="H13" s="591" t="n"/>
    </row>
    <row r="14" ht="20.1" customHeight="1" s="510">
      <c r="B14" s="609" t="inlineStr">
        <is>
          <t>anrechenbare Kosten (netto)</t>
        </is>
      </c>
      <c r="C14" s="583" t="n"/>
      <c r="D14" s="583" t="n"/>
      <c r="E14" s="584" t="n"/>
      <c r="F14" s="202" t="n"/>
      <c r="G14" s="611" t="n">
        <v>5200000</v>
      </c>
      <c r="H14" s="591" t="n"/>
    </row>
    <row r="15" ht="20.1" customHeight="1" s="510">
      <c r="B15" s="609" t="inlineStr">
        <is>
          <t xml:space="preserve">Honorarzone </t>
        </is>
      </c>
      <c r="C15" s="583" t="n"/>
      <c r="D15" s="583" t="n"/>
      <c r="E15" s="584" t="n"/>
      <c r="F15" s="526" t="n"/>
      <c r="G15" s="611" t="inlineStr">
        <is>
          <t>III</t>
        </is>
      </c>
      <c r="H15" s="591" t="n"/>
    </row>
    <row r="16" ht="20.1" customHeight="1" s="510">
      <c r="B16" s="609" t="inlineStr">
        <is>
          <t>Honorarsatz</t>
        </is>
      </c>
      <c r="C16" s="583" t="n"/>
      <c r="D16" s="583" t="n"/>
      <c r="E16" s="584" t="n"/>
      <c r="F16" s="526" t="n"/>
      <c r="G16" s="612" t="inlineStr">
        <is>
          <t>Basissatz</t>
        </is>
      </c>
      <c r="H16" s="591" t="n"/>
      <c r="L16" s="99" t="n"/>
    </row>
    <row r="17" ht="20.1" customHeight="1" s="510">
      <c r="B17" s="612" t="n"/>
      <c r="C17" s="590" t="n"/>
      <c r="D17" s="590" t="n"/>
      <c r="E17" s="591" t="n"/>
      <c r="F17" s="204" t="n"/>
      <c r="G17" s="613" t="inlineStr">
        <is>
          <t>Angabe in %</t>
        </is>
      </c>
      <c r="H17" s="591" t="n"/>
    </row>
    <row r="18" ht="20.1" customHeight="1" s="510">
      <c r="B18" s="614" t="inlineStr">
        <is>
          <t>Leistungsphasen und Bewertung
HOAI</t>
        </is>
      </c>
      <c r="C18" s="9" t="n"/>
      <c r="D18" s="9" t="n"/>
      <c r="E18" s="214" t="inlineStr">
        <is>
          <t>1 GE</t>
        </is>
      </c>
      <c r="F18" s="214" t="inlineStr">
        <is>
          <t>§§ 34, 35</t>
        </is>
      </c>
      <c r="G18" s="615" t="n"/>
      <c r="H18" s="591" t="n"/>
    </row>
    <row r="19" ht="20.1" customHeight="1" s="510">
      <c r="B19" s="11" t="n"/>
      <c r="E19" s="214" t="inlineStr">
        <is>
          <t>2 VP</t>
        </is>
      </c>
      <c r="F19" s="19" t="n"/>
      <c r="G19" s="615" t="n"/>
      <c r="H19" s="591" t="n"/>
    </row>
    <row r="20" ht="20.1" customHeight="1" s="510">
      <c r="B20" s="11" t="n"/>
      <c r="E20" s="214" t="inlineStr">
        <is>
          <t>3 EP</t>
        </is>
      </c>
      <c r="F20" s="19" t="n"/>
      <c r="G20" s="615" t="n"/>
      <c r="H20" s="591" t="n"/>
    </row>
    <row r="21" ht="20.1" customHeight="1" s="510">
      <c r="B21" s="11" t="n"/>
      <c r="E21" s="214" t="inlineStr">
        <is>
          <t>4 GP</t>
        </is>
      </c>
      <c r="F21" s="19" t="n"/>
      <c r="G21" s="615" t="n"/>
      <c r="H21" s="591" t="n"/>
    </row>
    <row r="22" ht="20.1" customHeight="1" s="510">
      <c r="B22" s="11" t="n"/>
      <c r="E22" s="214" t="inlineStr">
        <is>
          <t>5 AP</t>
        </is>
      </c>
      <c r="F22" s="19" t="n"/>
      <c r="G22" s="615" t="n"/>
      <c r="H22" s="591" t="n"/>
    </row>
    <row r="23" ht="20.1" customHeight="1" s="510">
      <c r="B23" s="11" t="n"/>
      <c r="E23" s="214" t="inlineStr">
        <is>
          <t>6 VV</t>
        </is>
      </c>
      <c r="F23" s="19" t="n"/>
      <c r="G23" s="615" t="n"/>
      <c r="H23" s="591" t="n"/>
    </row>
    <row r="24" ht="20.1" customHeight="1" s="510">
      <c r="B24" s="11" t="n"/>
      <c r="E24" s="214" t="inlineStr">
        <is>
          <t>7 MV</t>
        </is>
      </c>
      <c r="F24" s="19" t="n"/>
      <c r="G24" s="615" t="n"/>
      <c r="H24" s="591" t="n"/>
    </row>
    <row r="25" ht="20.1" customHeight="1" s="510">
      <c r="B25" s="11" t="n"/>
      <c r="E25" s="214" t="inlineStr">
        <is>
          <t>8 OÜ</t>
        </is>
      </c>
      <c r="F25" s="19" t="n"/>
      <c r="G25" s="615" t="n"/>
      <c r="H25" s="591" t="n"/>
    </row>
    <row r="26" ht="20.1" customHeight="1" s="510">
      <c r="B26" s="13" t="n"/>
      <c r="C26" s="14" t="n"/>
      <c r="D26" s="14" t="n"/>
      <c r="E26" s="214" t="inlineStr">
        <is>
          <t>9 OB</t>
        </is>
      </c>
      <c r="F26" s="20" t="n"/>
      <c r="G26" s="615" t="n"/>
      <c r="H26" s="591" t="n"/>
    </row>
    <row r="27" ht="39.75" customHeight="1" s="510">
      <c r="B27" s="616" t="inlineStr">
        <is>
          <t>Gesamt:</t>
        </is>
      </c>
      <c r="C27" s="583" t="n"/>
      <c r="D27" s="583" t="n"/>
      <c r="E27" s="583" t="n"/>
      <c r="F27" s="584" t="n"/>
      <c r="G27" s="615">
        <f>SUM(G18:H26)</f>
        <v/>
      </c>
      <c r="H27" s="591" t="n"/>
    </row>
    <row r="28" ht="20.1" customHeight="1" s="510">
      <c r="B28" s="612" t="n"/>
      <c r="C28" s="590" t="n"/>
      <c r="D28" s="590" t="n"/>
      <c r="E28" s="590" t="n"/>
      <c r="F28" s="591" t="n"/>
      <c r="G28" s="526" t="n"/>
      <c r="H28" s="591" t="n"/>
    </row>
    <row r="29" ht="20.1" customHeight="1" s="510">
      <c r="B29" s="546" t="inlineStr">
        <is>
          <t>Besondere Leistung:</t>
        </is>
      </c>
      <c r="C29" s="583" t="n"/>
      <c r="D29" s="583" t="n"/>
      <c r="E29" s="583" t="n"/>
      <c r="F29" s="583" t="n"/>
      <c r="G29" s="526" t="n"/>
      <c r="H29" s="591" t="n"/>
    </row>
    <row r="30" ht="39.95" customHeight="1" s="510">
      <c r="B30" s="532" t="inlineStr">
        <is>
          <t>Bestandsaufnahme</t>
        </is>
      </c>
      <c r="C30" s="583" t="n"/>
      <c r="D30" s="583" t="n"/>
      <c r="E30" s="583" t="n"/>
      <c r="F30" s="583" t="n"/>
      <c r="G30" s="324" t="n"/>
      <c r="H30" s="206" t="inlineStr">
        <is>
          <t>€ netto</t>
        </is>
      </c>
    </row>
    <row r="31" ht="39.95" customHeight="1" s="510">
      <c r="B31" s="532" t="inlineStr">
        <is>
          <t xml:space="preserve">Gewerkeweise Budgetierung und Aufteilung der Kostenberechnung der LPH3 </t>
        </is>
      </c>
      <c r="C31" s="583" t="n"/>
      <c r="D31" s="583" t="n"/>
      <c r="E31" s="583" t="n"/>
      <c r="F31" s="583" t="n"/>
      <c r="G31" s="324" t="n"/>
      <c r="H31" s="206" t="inlineStr">
        <is>
          <t>€ netto</t>
        </is>
      </c>
    </row>
    <row r="32" ht="39.95" customHeight="1" s="510">
      <c r="B32" s="616" t="inlineStr">
        <is>
          <t>Erstellung Verwendungsnachweis</t>
        </is>
      </c>
      <c r="C32" s="583" t="n"/>
      <c r="D32" s="583" t="n"/>
      <c r="E32" s="583" t="n"/>
      <c r="F32" s="584" t="n"/>
      <c r="G32" s="324" t="n"/>
      <c r="H32" s="206" t="inlineStr">
        <is>
          <t>€ netto</t>
        </is>
      </c>
    </row>
    <row r="33" ht="39.95" customHeight="1" s="510">
      <c r="B33" s="532" t="inlineStr">
        <is>
          <t>Überwachen der Mängelbeseitigung innerhalb der Verjährungsfrist (im Rahmen der Angebotslegung ist von 40 h auszugehen. Die Vergütung erfolgt aufwandsbezogen)</t>
        </is>
      </c>
      <c r="C33" s="583" t="n"/>
      <c r="D33" s="583" t="n"/>
      <c r="E33" s="583" t="n"/>
      <c r="F33" s="583" t="n"/>
      <c r="G33" s="324" t="n"/>
      <c r="H33" s="206" t="inlineStr">
        <is>
          <t>€ netto</t>
        </is>
      </c>
    </row>
    <row r="34" ht="39.95" customHeight="1" s="510">
      <c r="B34" s="616" t="inlineStr">
        <is>
          <t xml:space="preserve">Teilnahme an öffentlichen Sitzungen bzw. sonstiger Gremien außerhalb der Bedarfsplaung (Preis für 1 Termin, Abrechnung erfolgt nach tatsächlicher Teilnahme) </t>
        </is>
      </c>
      <c r="C34" s="583" t="n"/>
      <c r="D34" s="583" t="n"/>
      <c r="E34" s="583" t="n"/>
      <c r="F34" s="584" t="n"/>
      <c r="G34" s="324" t="n"/>
      <c r="H34" s="206" t="inlineStr">
        <is>
          <t>€ netto</t>
        </is>
      </c>
    </row>
    <row r="35" ht="39.95" customHeight="1" s="510">
      <c r="B35" s="616" t="inlineStr">
        <is>
          <t>Mithilfe bei der Fördermittelbeschaffung</t>
        </is>
      </c>
      <c r="C35" s="583" t="n"/>
      <c r="D35" s="583" t="n"/>
      <c r="E35" s="583" t="n"/>
      <c r="F35" s="584" t="n"/>
      <c r="G35" s="324" t="n"/>
      <c r="H35" s="206" t="inlineStr">
        <is>
          <t>€ netto</t>
        </is>
      </c>
    </row>
    <row r="36" ht="39.95" customHeight="1" s="510">
      <c r="B36" s="556" t="inlineStr">
        <is>
          <t>Gesamt</t>
        </is>
      </c>
      <c r="C36" s="583" t="n"/>
      <c r="D36" s="583" t="n"/>
      <c r="E36" s="583" t="n"/>
      <c r="F36" s="583" t="n"/>
      <c r="G36" s="324">
        <f>SUM(G30:G35)</f>
        <v/>
      </c>
      <c r="H36" s="206" t="inlineStr">
        <is>
          <t>€ netto</t>
        </is>
      </c>
    </row>
    <row r="37" ht="15" customHeight="1" s="510">
      <c r="B37" s="617" t="n"/>
      <c r="C37" s="590" t="n"/>
      <c r="D37" s="590" t="n"/>
      <c r="E37" s="590" t="n"/>
      <c r="F37" s="591" t="n"/>
      <c r="G37" s="612" t="n"/>
      <c r="H37" s="591" t="n"/>
    </row>
    <row r="38" ht="39.75" customHeight="1" s="510">
      <c r="B38" s="618" t="inlineStr">
        <is>
          <t>Umbau- und Modernisierungszuschlag § 6 Abs. 2 HOAI</t>
        </is>
      </c>
      <c r="C38" s="590" t="n"/>
      <c r="D38" s="590" t="n"/>
      <c r="E38" s="590" t="n"/>
      <c r="F38" s="591" t="n"/>
      <c r="G38" s="205" t="n"/>
      <c r="H38" s="206" t="inlineStr">
        <is>
          <t xml:space="preserve"> %</t>
        </is>
      </c>
    </row>
    <row r="39" ht="15" customHeight="1" s="510">
      <c r="B39" s="617" t="n"/>
      <c r="C39" s="590" t="n"/>
      <c r="D39" s="590" t="n"/>
      <c r="E39" s="590" t="n"/>
      <c r="F39" s="591" t="n"/>
      <c r="G39" s="612" t="n"/>
      <c r="H39" s="591" t="n"/>
    </row>
    <row r="40" ht="20.1" customHeight="1" s="510">
      <c r="B40" s="609" t="inlineStr">
        <is>
          <t>Zeithonorar (1 Std.)</t>
        </is>
      </c>
      <c r="C40" s="9" t="n"/>
      <c r="D40" s="10" t="n"/>
      <c r="E40" s="609" t="inlineStr">
        <is>
          <t>Auftragnehmer*in/Inhaber*in</t>
        </is>
      </c>
      <c r="F40" s="584" t="n"/>
      <c r="G40" s="536" t="n"/>
      <c r="H40" s="206" t="inlineStr">
        <is>
          <t>€ netto</t>
        </is>
      </c>
    </row>
    <row r="41" ht="20.1" customHeight="1" s="510">
      <c r="B41" s="11" t="n"/>
      <c r="D41" s="511" t="n"/>
      <c r="E41" s="609" t="inlineStr">
        <is>
          <t>Ingenieur*in</t>
        </is>
      </c>
      <c r="F41" s="584" t="n"/>
      <c r="G41" s="536" t="n"/>
      <c r="H41" s="206" t="inlineStr">
        <is>
          <t>€ netto</t>
        </is>
      </c>
    </row>
    <row r="42" ht="20.1" customHeight="1" s="510">
      <c r="B42" s="13" t="n"/>
      <c r="C42" s="14" t="n"/>
      <c r="D42" s="15" t="n"/>
      <c r="E42" s="609" t="inlineStr">
        <is>
          <t>sonstige Mitarbeiter*innen</t>
        </is>
      </c>
      <c r="F42" s="584" t="n"/>
      <c r="G42" s="536" t="n"/>
      <c r="H42" s="206" t="inlineStr">
        <is>
          <t>€ netto</t>
        </is>
      </c>
    </row>
    <row r="43" ht="20.1" customHeight="1" s="510">
      <c r="B43" s="546" t="inlineStr">
        <is>
          <t>Planungsnebenkosten</t>
        </is>
      </c>
      <c r="C43" s="583" t="n"/>
      <c r="D43" s="583" t="n"/>
      <c r="E43" s="583" t="n"/>
      <c r="F43" s="583" t="n"/>
      <c r="G43" s="536" t="n"/>
      <c r="H43" s="206" t="inlineStr">
        <is>
          <t xml:space="preserve"> %</t>
        </is>
      </c>
    </row>
    <row r="44" ht="20.1" customHeight="1" s="510">
      <c r="B44" s="609" t="inlineStr">
        <is>
          <t>Bemerkungen (z. B. Nachlässe, Aufschläge, sonstiges)</t>
        </is>
      </c>
      <c r="C44" s="9" t="n"/>
      <c r="D44" s="9" t="n"/>
      <c r="E44" s="9" t="n"/>
      <c r="F44" s="10" t="n"/>
      <c r="G44" s="536" t="n"/>
      <c r="H44" s="157" t="n"/>
    </row>
    <row r="45" ht="20.1" customHeight="1" s="510">
      <c r="B45" s="11" t="n"/>
      <c r="F45" s="511" t="n"/>
      <c r="G45" s="159" t="n"/>
      <c r="H45" s="160" t="n"/>
    </row>
    <row r="46" ht="20.1" customHeight="1" s="510">
      <c r="B46" s="11" t="n"/>
      <c r="F46" s="511" t="n"/>
      <c r="G46" s="159" t="n"/>
      <c r="H46" s="160" t="n"/>
    </row>
    <row r="47" ht="5.25" customHeight="1" s="510">
      <c r="B47" s="13" t="n"/>
      <c r="C47" s="14" t="n"/>
      <c r="D47" s="14" t="n"/>
      <c r="E47" s="14" t="n"/>
      <c r="F47" s="15" t="n"/>
      <c r="G47" s="171" t="n"/>
      <c r="H47" s="173" t="n"/>
    </row>
    <row r="48" ht="16.5" customHeight="1" s="510">
      <c r="B48" s="619" t="inlineStr">
        <is>
          <t>Ort, Datum, Unterschrift</t>
        </is>
      </c>
      <c r="C48" s="156" t="n"/>
      <c r="D48" s="156" t="n"/>
      <c r="E48" s="156" t="n"/>
      <c r="F48" s="157" t="n"/>
      <c r="G48" s="526" t="n"/>
      <c r="H48" s="157" t="n"/>
    </row>
    <row r="49" hidden="1" ht="19.5" customHeight="1" s="510">
      <c r="B49" s="159" t="n"/>
      <c r="C49" s="158" t="n"/>
      <c r="D49" s="158" t="n"/>
      <c r="E49" s="158" t="n"/>
      <c r="F49" s="160" t="n"/>
      <c r="G49" s="159" t="n"/>
      <c r="H49" s="160" t="n"/>
    </row>
    <row r="50" ht="20.1" customHeight="1" s="510">
      <c r="B50" s="159" t="n"/>
      <c r="C50" s="158" t="n"/>
      <c r="D50" s="158" t="n"/>
      <c r="E50" s="158" t="n"/>
      <c r="F50" s="160" t="n"/>
      <c r="G50" s="159" t="n"/>
      <c r="H50" s="160" t="n"/>
    </row>
    <row r="51" ht="30" customHeight="1" s="510">
      <c r="B51" s="171" t="n"/>
      <c r="C51" s="172" t="n"/>
      <c r="D51" s="172" t="n"/>
      <c r="E51" s="172" t="n"/>
      <c r="F51" s="173" t="n"/>
      <c r="G51" s="171" t="n"/>
      <c r="H51" s="173" t="n"/>
    </row>
    <row r="52">
      <c r="G52" s="207" t="n"/>
      <c r="H52" s="207" t="n"/>
    </row>
  </sheetData>
  <sheetProtection selectLockedCells="0" selectUnlockedCells="0" algorithmName="SHA-512" sheet="1" objects="1" insertRows="1" insertHyperlinks="1" autoFilter="1" scenarios="1" formatColumns="1" deleteColumns="1" insertColumns="1" pivotTables="1" deleteRows="1" formatCells="1" saltValue="W9V5L9NNM0Gsx/Bbu6IubQ==" formatRows="1" sort="1" spinCount="100000" hashValue="ZWMWuzql9L/6hvHp9hNiB2L8gf3gSSpJK1qoVE+xl0sBo/aG4SWvdkbderw1AOzKnuvOYe0tDL2NpGmgqoy9rA=="/>
  <mergeCells count="51">
    <mergeCell ref="B4:F4"/>
    <mergeCell ref="G21:H21"/>
    <mergeCell ref="F18:F26"/>
    <mergeCell ref="G11:H11"/>
    <mergeCell ref="B3:F3"/>
    <mergeCell ref="G27:H27"/>
    <mergeCell ref="B15:E15"/>
    <mergeCell ref="E42:F42"/>
    <mergeCell ref="B48:F51"/>
    <mergeCell ref="B31:F31"/>
    <mergeCell ref="G23:H23"/>
    <mergeCell ref="B18:D26"/>
    <mergeCell ref="B44:F47"/>
    <mergeCell ref="G17:H17"/>
    <mergeCell ref="B27:F27"/>
    <mergeCell ref="G39:H39"/>
    <mergeCell ref="B43:F43"/>
    <mergeCell ref="B39:F39"/>
    <mergeCell ref="B16:E16"/>
    <mergeCell ref="G19:H19"/>
    <mergeCell ref="G37:H37"/>
    <mergeCell ref="G28:H28"/>
    <mergeCell ref="B40:D42"/>
    <mergeCell ref="G44:H47"/>
    <mergeCell ref="G13:H13"/>
    <mergeCell ref="G18:H18"/>
    <mergeCell ref="E40:F40"/>
    <mergeCell ref="B29:F29"/>
    <mergeCell ref="B38:F38"/>
    <mergeCell ref="G24:H24"/>
    <mergeCell ref="B34:F34"/>
    <mergeCell ref="G15:H15"/>
    <mergeCell ref="B28:F28"/>
    <mergeCell ref="B37:F37"/>
    <mergeCell ref="G14:H14"/>
    <mergeCell ref="G26:H26"/>
    <mergeCell ref="B14:E14"/>
    <mergeCell ref="B30:F30"/>
    <mergeCell ref="G29:H29"/>
    <mergeCell ref="B17:E17"/>
    <mergeCell ref="G20:H20"/>
    <mergeCell ref="G16:H16"/>
    <mergeCell ref="B13:E13"/>
    <mergeCell ref="B33:F33"/>
    <mergeCell ref="G25:H25"/>
    <mergeCell ref="E41:F41"/>
    <mergeCell ref="G48:H51"/>
    <mergeCell ref="B36:F36"/>
    <mergeCell ref="G22:H22"/>
    <mergeCell ref="B32:F32"/>
    <mergeCell ref="B35:F35"/>
  </mergeCells>
  <pageMargins left="0.9055118110236221" right="0.5118110236220472" top="0.7874015748031497" bottom="0.3937007874015748" header="0.3149606299212598" footer="0.3149606299212598"/>
  <pageSetup orientation="portrait" paperSize="8" scale="4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hs</dc:creator>
  <dcterms:created xmlns:dcterms="http://purl.org/dc/terms/" xmlns:xsi="http://www.w3.org/2001/XMLSchema-instance" xsi:type="dcterms:W3CDTF">2003-07-23T09:34:37Z</dcterms:created>
  <dcterms:modified xmlns:dcterms="http://purl.org/dc/terms/" xmlns:xsi="http://www.w3.org/2001/XMLSchema-instance" xsi:type="dcterms:W3CDTF">2026-03-19T12:41:29Z</dcterms:modified>
  <cp:lastModifiedBy>Lena Schmid</cp:lastModifiedBy>
  <cp:lastPrinted>2025-09-03T06:37:47Z</cp:lastPrinted>
</cp:coreProperties>
</file>